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heetan/Library/Containers/net.whatsapp.WhatsApp/Data/tmp/documents/B1F53F7F-1320-4B09-9B1A-F545ACB650AA/"/>
    </mc:Choice>
  </mc:AlternateContent>
  <xr:revisionPtr revIDLastSave="0" documentId="8_{6B706BD7-3AD0-D142-A7A6-888ADE183EF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Genes and Markers" sheetId="1" r:id="rId1"/>
  </sheets>
  <definedNames>
    <definedName name="_xlnm._FilterDatabase" localSheetId="0" hidden="1">'Genes and Markers'!$A$1:$G$148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8" i="1"/>
  <c r="D19" i="1"/>
  <c r="D21" i="1"/>
  <c r="D22" i="1"/>
  <c r="D23" i="1"/>
  <c r="D24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2" i="1"/>
  <c r="D53" i="1"/>
  <c r="D54" i="1"/>
  <c r="D55" i="1"/>
  <c r="D56" i="1"/>
  <c r="D57" i="1"/>
  <c r="D58" i="1"/>
  <c r="D59" i="1"/>
  <c r="D60" i="1"/>
  <c r="D61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8" i="1"/>
  <c r="D79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2" i="1"/>
  <c r="D144" i="1"/>
  <c r="D145" i="1"/>
  <c r="D146" i="1"/>
  <c r="D147" i="1"/>
  <c r="D148" i="1"/>
  <c r="D15" i="1"/>
</calcChain>
</file>

<file path=xl/sharedStrings.xml><?xml version="1.0" encoding="utf-8"?>
<sst xmlns="http://schemas.openxmlformats.org/spreadsheetml/2006/main" count="878" uniqueCount="402">
  <si>
    <t>Gene</t>
  </si>
  <si>
    <t>Marker</t>
  </si>
  <si>
    <t>MAF</t>
  </si>
  <si>
    <t>Level of evidence</t>
  </si>
  <si>
    <t>PubMed reference</t>
  </si>
  <si>
    <t>ABCB1</t>
  </si>
  <si>
    <t>rs1045642</t>
  </si>
  <si>
    <t>~45%</t>
  </si>
  <si>
    <t>L3</t>
  </si>
  <si>
    <t>PubMed search</t>
  </si>
  <si>
    <t>ABCC4</t>
  </si>
  <si>
    <t>rs1751034</t>
  </si>
  <si>
    <t>~40%</t>
  </si>
  <si>
    <t>ABCG2</t>
  </si>
  <si>
    <t>rs2231142</t>
  </si>
  <si>
    <t>~8%</t>
  </si>
  <si>
    <t>L2</t>
  </si>
  <si>
    <t>ACE</t>
  </si>
  <si>
    <t>rs4646994</t>
  </si>
  <si>
    <t>~57%</t>
  </si>
  <si>
    <t>ACVR1</t>
  </si>
  <si>
    <t>rs387906589</t>
  </si>
  <si>
    <t>Not established</t>
  </si>
  <si>
    <t>L1</t>
  </si>
  <si>
    <t>ADCY9</t>
  </si>
  <si>
    <t>rs1967309</t>
  </si>
  <si>
    <t>25583994</t>
  </si>
  <si>
    <t>ADD1</t>
  </si>
  <si>
    <t>rs4961</t>
  </si>
  <si>
    <t>~20%</t>
  </si>
  <si>
    <t>ADRA2A</t>
  </si>
  <si>
    <t>rs1800544</t>
  </si>
  <si>
    <t>51%</t>
  </si>
  <si>
    <t>ADRB1</t>
  </si>
  <si>
    <t>rs1801252</t>
  </si>
  <si>
    <t>~15%</t>
  </si>
  <si>
    <t>rs1801253</t>
  </si>
  <si>
    <t>~27%</t>
  </si>
  <si>
    <t>ADRB2</t>
  </si>
  <si>
    <t>rs1042713</t>
  </si>
  <si>
    <t>rs1042714</t>
  </si>
  <si>
    <t>~25%</t>
  </si>
  <si>
    <t>AGTR1</t>
  </si>
  <si>
    <t>rs5186</t>
  </si>
  <si>
    <t>ALDH2</t>
  </si>
  <si>
    <t>rs671</t>
  </si>
  <si>
    <t>~0.5%</t>
  </si>
  <si>
    <t>APOA5</t>
  </si>
  <si>
    <t>rs662799</t>
  </si>
  <si>
    <t>~30%</t>
  </si>
  <si>
    <t>APOB</t>
  </si>
  <si>
    <t>rs5742904</t>
  </si>
  <si>
    <t>APOE</t>
  </si>
  <si>
    <t>rs429358</t>
  </si>
  <si>
    <t>rs7412</t>
  </si>
  <si>
    <t>ATP7B</t>
  </si>
  <si>
    <t>rs76151636</t>
  </si>
  <si>
    <t>BCHE</t>
  </si>
  <si>
    <t>rs1799807</t>
  </si>
  <si>
    <t>~1%</t>
  </si>
  <si>
    <t>rs1803274</t>
  </si>
  <si>
    <t>BCL11A</t>
  </si>
  <si>
    <t>rs11886868</t>
  </si>
  <si>
    <t>rs1427407</t>
  </si>
  <si>
    <t>C3</t>
  </si>
  <si>
    <t>rs2230199</t>
  </si>
  <si>
    <t>C5</t>
  </si>
  <si>
    <t>rs144361550</t>
  </si>
  <si>
    <t>CDA</t>
  </si>
  <si>
    <t>rs2072671</t>
  </si>
  <si>
    <t>CEP72</t>
  </si>
  <si>
    <t>rs924607</t>
  </si>
  <si>
    <t>~35%</t>
  </si>
  <si>
    <t>CES1</t>
  </si>
  <si>
    <t>rs2244613</t>
  </si>
  <si>
    <t>rs71647871</t>
  </si>
  <si>
    <t>~3%</t>
  </si>
  <si>
    <t>rs8192935</t>
  </si>
  <si>
    <t>CFB</t>
  </si>
  <si>
    <t>rs641153</t>
  </si>
  <si>
    <t>CHRNA5</t>
  </si>
  <si>
    <t>rs16969968</t>
  </si>
  <si>
    <t>COMT</t>
  </si>
  <si>
    <t>rs4680</t>
  </si>
  <si>
    <t>CRHR1</t>
  </si>
  <si>
    <t>rs1876828</t>
  </si>
  <si>
    <t>CYP19A1</t>
  </si>
  <si>
    <t>rs4646</t>
  </si>
  <si>
    <t>CYP1A2</t>
  </si>
  <si>
    <t>rs762551</t>
  </si>
  <si>
    <t>~65%</t>
  </si>
  <si>
    <t>CYP2A6</t>
  </si>
  <si>
    <t>rs1801272</t>
  </si>
  <si>
    <t>rs28399433</t>
  </si>
  <si>
    <t>CYP2B6</t>
  </si>
  <si>
    <t>rs28399499</t>
  </si>
  <si>
    <t>~2%</t>
  </si>
  <si>
    <t>rs3745274</t>
  </si>
  <si>
    <t>CYP2C19</t>
  </si>
  <si>
    <t>rs12248560</t>
  </si>
  <si>
    <t>35034351</t>
  </si>
  <si>
    <t>rs4244285</t>
  </si>
  <si>
    <t>~34%</t>
  </si>
  <si>
    <t>rs4986893</t>
  </si>
  <si>
    <t>CYP2C8</t>
  </si>
  <si>
    <t>rs10509681</t>
  </si>
  <si>
    <t>~5%</t>
  </si>
  <si>
    <t>rs11572103</t>
  </si>
  <si>
    <t>CYP2C9</t>
  </si>
  <si>
    <t>rs1057910</t>
  </si>
  <si>
    <t>~10%</t>
  </si>
  <si>
    <t>rs1799853</t>
  </si>
  <si>
    <t>CYP2D6</t>
  </si>
  <si>
    <t>rs1065852</t>
  </si>
  <si>
    <t>rs3892097</t>
  </si>
  <si>
    <t>CYP2E1</t>
  </si>
  <si>
    <t>rs3813867</t>
  </si>
  <si>
    <t>rs6413432</t>
  </si>
  <si>
    <t>CYP3A4</t>
  </si>
  <si>
    <t>rs35599367</t>
  </si>
  <si>
    <t>CYP3A5</t>
  </si>
  <si>
    <t>rs776746</t>
  </si>
  <si>
    <t>CYP4F2</t>
  </si>
  <si>
    <t>rs2108622</t>
  </si>
  <si>
    <t>DBH</t>
  </si>
  <si>
    <t>rs1611115</t>
  </si>
  <si>
    <t>DHODH</t>
  </si>
  <si>
    <t>rs3213422</t>
  </si>
  <si>
    <t>DPYD</t>
  </si>
  <si>
    <t>rs3918290</t>
  </si>
  <si>
    <t>&lt;1%</t>
  </si>
  <si>
    <t>rs55886062</t>
  </si>
  <si>
    <t>rs56038477</t>
  </si>
  <si>
    <t>rs67376798</t>
  </si>
  <si>
    <t>rs75017182</t>
  </si>
  <si>
    <t>DRD2</t>
  </si>
  <si>
    <t>rs1799732</t>
  </si>
  <si>
    <t>rs1800497</t>
  </si>
  <si>
    <t>F2</t>
  </si>
  <si>
    <t>rs1799963</t>
  </si>
  <si>
    <t>F5</t>
  </si>
  <si>
    <t>rs6025</t>
  </si>
  <si>
    <t>FCGR3A</t>
  </si>
  <si>
    <t>rs396991</t>
  </si>
  <si>
    <t>FDPS</t>
  </si>
  <si>
    <t>rs2297480</t>
  </si>
  <si>
    <t>FGFR3</t>
  </si>
  <si>
    <t>rs28931614</t>
  </si>
  <si>
    <t>FMO3</t>
  </si>
  <si>
    <t>rs2266780</t>
  </si>
  <si>
    <t>rs2266782</t>
  </si>
  <si>
    <t>rs909530</t>
  </si>
  <si>
    <t>FSHR</t>
  </si>
  <si>
    <t>rs6166</t>
  </si>
  <si>
    <t>G6PD</t>
  </si>
  <si>
    <t>rs5030868</t>
  </si>
  <si>
    <t>GBA</t>
  </si>
  <si>
    <t>rs421016</t>
  </si>
  <si>
    <t>rs76763715</t>
  </si>
  <si>
    <t>GLCCI1</t>
  </si>
  <si>
    <t>rs37973</t>
  </si>
  <si>
    <t>GSTA1</t>
  </si>
  <si>
    <t>rs3957357</t>
  </si>
  <si>
    <t>GSTP1</t>
  </si>
  <si>
    <t>rs1695</t>
  </si>
  <si>
    <t>HBB</t>
  </si>
  <si>
    <t>rs334</t>
  </si>
  <si>
    <t>HBG2</t>
  </si>
  <si>
    <t>rs7482144</t>
  </si>
  <si>
    <t>HBS1L</t>
  </si>
  <si>
    <t>rs9399137</t>
  </si>
  <si>
    <t>HLA-A</t>
  </si>
  <si>
    <t>HLA-A*31:01</t>
  </si>
  <si>
    <t>HLA-A*32:01</t>
  </si>
  <si>
    <t>HLA-B</t>
  </si>
  <si>
    <t>HLA-B*08:03</t>
  </si>
  <si>
    <t>HLA-B*13:01</t>
  </si>
  <si>
    <t>~1-3%</t>
  </si>
  <si>
    <t>HLA-B*15:02</t>
  </si>
  <si>
    <t>~2-6%</t>
  </si>
  <si>
    <t>HLA-B*35:02</t>
  </si>
  <si>
    <t>HLA-B*35:05</t>
  </si>
  <si>
    <t>HLA-B*38:02</t>
  </si>
  <si>
    <t>HLA-B*57:01</t>
  </si>
  <si>
    <t>~5-10%</t>
  </si>
  <si>
    <t>HLA-B*58:01</t>
  </si>
  <si>
    <t>~6-11%</t>
  </si>
  <si>
    <t>HLA-DQA1</t>
  </si>
  <si>
    <t>rs2097432</t>
  </si>
  <si>
    <t>HLA-DQB1</t>
  </si>
  <si>
    <t>rs113332494</t>
  </si>
  <si>
    <t>HLA-DRB1</t>
  </si>
  <si>
    <t>HLA-DRB1*02:01</t>
  </si>
  <si>
    <t>HLA-DRB1*07:01</t>
  </si>
  <si>
    <t>~10-15%</t>
  </si>
  <si>
    <t>HLA-DRB1*15:01</t>
  </si>
  <si>
    <t>~8-12%</t>
  </si>
  <si>
    <t>HTR2C</t>
  </si>
  <si>
    <t>rs3813929</t>
  </si>
  <si>
    <t>IFNL3</t>
  </si>
  <si>
    <t>rs12979860</t>
  </si>
  <si>
    <t>rs8099917</t>
  </si>
  <si>
    <t>IL4R</t>
  </si>
  <si>
    <t>rs1805010</t>
  </si>
  <si>
    <t>~50%</t>
  </si>
  <si>
    <t>ITGB3</t>
  </si>
  <si>
    <t>rs5918</t>
  </si>
  <si>
    <t>ITPA</t>
  </si>
  <si>
    <t>rs1127354</t>
  </si>
  <si>
    <t>rs7270101</t>
  </si>
  <si>
    <t>KCNJ11</t>
  </si>
  <si>
    <t>rs5219</t>
  </si>
  <si>
    <t>rs757110</t>
  </si>
  <si>
    <t>MAOA</t>
  </si>
  <si>
    <t>rs6323</t>
  </si>
  <si>
    <t>MC4R</t>
  </si>
  <si>
    <t>rs489693</t>
  </si>
  <si>
    <t>MEFV</t>
  </si>
  <si>
    <t>rs61752717</t>
  </si>
  <si>
    <t>MTHFR</t>
  </si>
  <si>
    <t>rs1801131</t>
  </si>
  <si>
    <t>rs1801133</t>
  </si>
  <si>
    <t>~12%</t>
  </si>
  <si>
    <t>MTR</t>
  </si>
  <si>
    <t>rs1805087</t>
  </si>
  <si>
    <t>MTRR</t>
  </si>
  <si>
    <t>rs1801394</t>
  </si>
  <si>
    <t>NAT2</t>
  </si>
  <si>
    <t>rs1799930</t>
  </si>
  <si>
    <t>rs1799931</t>
  </si>
  <si>
    <t>rs1801280</t>
  </si>
  <si>
    <t>NEDD4L</t>
  </si>
  <si>
    <t>rs4149601</t>
  </si>
  <si>
    <t>NPC1L1</t>
  </si>
  <si>
    <t>rs2073547</t>
  </si>
  <si>
    <t>NR3C1</t>
  </si>
  <si>
    <t>rs41423247</t>
  </si>
  <si>
    <t>NUDT15</t>
  </si>
  <si>
    <t>rs116855232</t>
  </si>
  <si>
    <t>~7%</t>
  </si>
  <si>
    <t>OPRM1</t>
  </si>
  <si>
    <t>rs1799971</t>
  </si>
  <si>
    <t>PTGS1</t>
  </si>
  <si>
    <t>rs10306114</t>
  </si>
  <si>
    <t>RARG</t>
  </si>
  <si>
    <t>rs2229774</t>
  </si>
  <si>
    <t>SERPINA1</t>
  </si>
  <si>
    <t>rs17580</t>
  </si>
  <si>
    <t>rs28929474</t>
  </si>
  <si>
    <t>SLC22A1</t>
  </si>
  <si>
    <t>rs12208357</t>
  </si>
  <si>
    <t>rs72552763</t>
  </si>
  <si>
    <t>SLC28A3</t>
  </si>
  <si>
    <t>rs7853758</t>
  </si>
  <si>
    <t>SLC47A1</t>
  </si>
  <si>
    <t>rs2289669</t>
  </si>
  <si>
    <t>SLCO1B1</t>
  </si>
  <si>
    <t>rs11045879</t>
  </si>
  <si>
    <t>~13%</t>
  </si>
  <si>
    <t>rs4149056</t>
  </si>
  <si>
    <t>SULT1A1</t>
  </si>
  <si>
    <t>rs1042028</t>
  </si>
  <si>
    <t>TCF7L2</t>
  </si>
  <si>
    <t>rs7903146</t>
  </si>
  <si>
    <t>~28%</t>
  </si>
  <si>
    <t>41011133</t>
  </si>
  <si>
    <t>TNF</t>
  </si>
  <si>
    <t>rs1800629</t>
  </si>
  <si>
    <t>TPMT</t>
  </si>
  <si>
    <t>rs1142345</t>
  </si>
  <si>
    <t>rs1800460</t>
  </si>
  <si>
    <t>rs1800462</t>
  </si>
  <si>
    <t>TTR</t>
  </si>
  <si>
    <t>rs28933979</t>
  </si>
  <si>
    <t>rs76992529</t>
  </si>
  <si>
    <t>UGT1A1</t>
  </si>
  <si>
    <t>rs4148323</t>
  </si>
  <si>
    <t>rs8175347</t>
  </si>
  <si>
    <t>UGT1A4</t>
  </si>
  <si>
    <t>rs2011425</t>
  </si>
  <si>
    <t>UGT1A6</t>
  </si>
  <si>
    <t>UGT1A6*2</t>
  </si>
  <si>
    <t>UGT1A9</t>
  </si>
  <si>
    <t>rs17868320</t>
  </si>
  <si>
    <t>UGT2B7</t>
  </si>
  <si>
    <t>rs7439366</t>
  </si>
  <si>
    <t>VEGFA</t>
  </si>
  <si>
    <t>rs699947</t>
  </si>
  <si>
    <t>VKORC1</t>
  </si>
  <si>
    <t>rs7294</t>
  </si>
  <si>
    <t>rs9923231</t>
  </si>
  <si>
    <t>~14%</t>
  </si>
  <si>
    <t>SA MAF</t>
  </si>
  <si>
    <t>G=0.4007</t>
  </si>
  <si>
    <t>G=0.0000,</t>
  </si>
  <si>
    <t>C=0.0000</t>
  </si>
  <si>
    <t>T=0</t>
  </si>
  <si>
    <t>G=0.4751</t>
  </si>
  <si>
    <t>T=0.1675</t>
  </si>
  <si>
    <t>G=0.490</t>
  </si>
  <si>
    <t>G=0.136</t>
  </si>
  <si>
    <t>G=0.294</t>
  </si>
  <si>
    <t>A=0.4421</t>
  </si>
  <si>
    <t>G=0.176</t>
  </si>
  <si>
    <t>C=0.0889</t>
  </si>
  <si>
    <t>A=0.0007</t>
  </si>
  <si>
    <t>G=0.1579</t>
  </si>
  <si>
    <t>A=0.000, T=0.000</t>
  </si>
  <si>
    <t>C=0.0225</t>
  </si>
  <si>
    <t>T=0.0358</t>
  </si>
  <si>
    <t>A=0.0000, T=0.0000</t>
  </si>
  <si>
    <t>C=0.0024</t>
  </si>
  <si>
    <t>T=0.1978</t>
  </si>
  <si>
    <t>T=0.4294</t>
  </si>
  <si>
    <t>A=0.000,</t>
  </si>
  <si>
    <t>GGGCCCGGGCCCGGGCCCG=0.00, GGGCCCGGGCCCGGGCCCGGGCCCG=0.00</t>
  </si>
  <si>
    <t>C=0.2206</t>
  </si>
  <si>
    <t>T=0.395</t>
  </si>
  <si>
    <t>A=0.0000</t>
  </si>
  <si>
    <t>A=0.000</t>
  </si>
  <si>
    <t>G=0.4330</t>
  </si>
  <si>
    <t>A=0.101</t>
  </si>
  <si>
    <t>A=0.2624</t>
  </si>
  <si>
    <t>A=0.4478</t>
  </si>
  <si>
    <t>T=0.066</t>
  </si>
  <si>
    <t>A=0.3726</t>
  </si>
  <si>
    <t>G=0.0000</t>
  </si>
  <si>
    <t>T=0.000</t>
  </si>
  <si>
    <t>T=0.3917</t>
  </si>
  <si>
    <t>T=0.120</t>
  </si>
  <si>
    <t>T=0.0000</t>
  </si>
  <si>
    <t>A=0.0032</t>
  </si>
  <si>
    <t>C=0.0405</t>
  </si>
  <si>
    <t>G=0.000</t>
  </si>
  <si>
    <t>T=0.0460</t>
  </si>
  <si>
    <t>A=0.20</t>
  </si>
  <si>
    <t>T=0.206</t>
  </si>
  <si>
    <t>A=0.00, C=0.00</t>
  </si>
  <si>
    <t>A=0.176</t>
  </si>
  <si>
    <t>A=0.0058</t>
  </si>
  <si>
    <t>T=0.2559</t>
  </si>
  <si>
    <t>C=0.4711</t>
  </si>
  <si>
    <t>C=0.000</t>
  </si>
  <si>
    <t>T=0.0160</t>
  </si>
  <si>
    <t>C=0.00, T=0.00</t>
  </si>
  <si>
    <t>G=0.10</t>
  </si>
  <si>
    <t>A=0.2714</t>
  </si>
  <si>
    <t>A=0.0008</t>
  </si>
  <si>
    <t>T=0.0135</t>
  </si>
  <si>
    <t>T=0.00</t>
  </si>
  <si>
    <t>G=0.0525</t>
  </si>
  <si>
    <t>A=0.3588</t>
  </si>
  <si>
    <t>C=0.4719</t>
  </si>
  <si>
    <t>A=0.013</t>
  </si>
  <si>
    <t>G=0.00</t>
  </si>
  <si>
    <t>C=0.000, G=0.000</t>
  </si>
  <si>
    <t>C=0.000, T=0.000</t>
  </si>
  <si>
    <t>A=0.3424</t>
  </si>
  <si>
    <t>A=0.000, C=0.000, G=0.000</t>
  </si>
  <si>
    <t>A=0.245</t>
  </si>
  <si>
    <t>C=0.1049</t>
  </si>
  <si>
    <t>C=0.208</t>
  </si>
  <si>
    <t>G=0.00,T=0.00</t>
  </si>
  <si>
    <t xml:space="preserve">GENE PRESENT rs ID NOT </t>
  </si>
  <si>
    <t xml:space="preserve">no paper </t>
  </si>
  <si>
    <t xml:space="preserve">Gene is present , rs id not present </t>
  </si>
  <si>
    <t>G=0.1654</t>
  </si>
  <si>
    <t>T=0.9037</t>
  </si>
  <si>
    <t>C=0.036</t>
  </si>
  <si>
    <t>T=0.3733</t>
  </si>
  <si>
    <t>T=0.363</t>
  </si>
  <si>
    <t>G=0.0000, T=0.0000</t>
  </si>
  <si>
    <t>C=0.0027</t>
  </si>
  <si>
    <t>G=0.4127</t>
  </si>
  <si>
    <t>A=0.1612</t>
  </si>
  <si>
    <t>G=0.3056</t>
  </si>
  <si>
    <t>A=0.4648</t>
  </si>
  <si>
    <t> C=0.0000</t>
  </si>
  <si>
    <t>A=0.0680</t>
  </si>
  <si>
    <t>A=0.0000, </t>
  </si>
  <si>
    <t>A=0.2034</t>
  </si>
  <si>
    <t>C=0.167</t>
  </si>
  <si>
    <t>T=0.0524</t>
  </si>
  <si>
    <t>G=0.3364</t>
  </si>
  <si>
    <t>G=0.0115</t>
  </si>
  <si>
    <t>A=0.1678</t>
  </si>
  <si>
    <t>T=0.0253</t>
  </si>
  <si>
    <t>AT=0.09</t>
  </si>
  <si>
    <t>A=0.1210</t>
  </si>
  <si>
    <t>A=0.4932</t>
  </si>
  <si>
    <t>C=0.0827</t>
  </si>
  <si>
    <t>C=0.0465</t>
  </si>
  <si>
    <t>T=0.16</t>
  </si>
  <si>
    <t>A=0.0782</t>
  </si>
  <si>
    <t>T=0.0077</t>
  </si>
  <si>
    <t>A=0.0168</t>
  </si>
  <si>
    <t>A=0.00</t>
  </si>
  <si>
    <t>T=0.019</t>
  </si>
  <si>
    <t>T=0.431</t>
  </si>
  <si>
    <t>T=0.3308</t>
  </si>
  <si>
    <t>T=0.1980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</si>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</sst>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rgb="FF808080"/>
      <name val="Arial"/>
      <family val="2"/>
    </font>
    <font>
      <u/>
      <sz val="10"/>
      <color rgb="FF0563C1"/>
      <name val="Arial"/>
      <family val="2"/>
    </font>
    <font>
      <sz val="12"/>
      <color rgb="FF9C0006"/>
      <name val="Calibri"/>
      <family val="2"/>
      <scheme val="minor"/>
    </font>
    <font>
      <sz val="14"/>
      <color rgb="FF21212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B5563"/>
      </patternFill>
    </fill>
    <fill>
      <patternFill patternType="solid">
        <fgColor rgb="FFEEF2F4"/>
      </patternFill>
    </fill>
    <fill>
      <patternFill patternType="solid">
        <fgColor rgb="FFFFF2CC"/>
      </patternFill>
    </fill>
    <fill>
      <patternFill patternType="solid">
        <fgColor rgb="FFD8EAD0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6" borderId="0" applyNumberFormat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6" borderId="1" xfId="1" applyBorder="1" applyAlignment="1">
      <alignment horizontal="left" vertical="center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wrapText="1"/>
    </xf>
    <xf numFmtId="0" fontId="9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med.ncbi.nlm.nih.gov/?term=NPC1L1+rs2073547" TargetMode="External"/><Relationship Id="rId21" Type="http://schemas.openxmlformats.org/officeDocument/2006/relationships/hyperlink" Target="https://pubmed.ncbi.nlm.nih.gov/?term=BCHE+rs1803274" TargetMode="External"/><Relationship Id="rId42" Type="http://schemas.openxmlformats.org/officeDocument/2006/relationships/hyperlink" Target="https://pubmed.ncbi.nlm.nih.gov/35034351/" TargetMode="External"/><Relationship Id="rId63" Type="http://schemas.openxmlformats.org/officeDocument/2006/relationships/hyperlink" Target="https://pubmed.ncbi.nlm.nih.gov/?term=DRD2+rs1800497" TargetMode="External"/><Relationship Id="rId84" Type="http://schemas.openxmlformats.org/officeDocument/2006/relationships/hyperlink" Target="https://pubmed.ncbi.nlm.nih.gov/?term=HLA-B+HLA-B%2A08%3A03" TargetMode="External"/><Relationship Id="rId138" Type="http://schemas.openxmlformats.org/officeDocument/2006/relationships/hyperlink" Target="https://pubmed.ncbi.nlm.nih.gov/?term=TTR+rs76992529" TargetMode="External"/><Relationship Id="rId107" Type="http://schemas.openxmlformats.org/officeDocument/2006/relationships/hyperlink" Target="https://pubmed.ncbi.nlm.nih.gov/?term=MC4R+rs489693" TargetMode="External"/><Relationship Id="rId11" Type="http://schemas.openxmlformats.org/officeDocument/2006/relationships/hyperlink" Target="https://pubmed.ncbi.nlm.nih.gov/?term=ADRB2+rs1042713" TargetMode="External"/><Relationship Id="rId32" Type="http://schemas.openxmlformats.org/officeDocument/2006/relationships/hyperlink" Target="https://pubmed.ncbi.nlm.nih.gov/?term=CHRNA5+rs16969968" TargetMode="External"/><Relationship Id="rId53" Type="http://schemas.openxmlformats.org/officeDocument/2006/relationships/hyperlink" Target="https://pubmed.ncbi.nlm.nih.gov/?term=CYP3A5+rs776746" TargetMode="External"/><Relationship Id="rId74" Type="http://schemas.openxmlformats.org/officeDocument/2006/relationships/hyperlink" Target="https://pubmed.ncbi.nlm.nih.gov/?term=GBA+rs421016" TargetMode="External"/><Relationship Id="rId128" Type="http://schemas.openxmlformats.org/officeDocument/2006/relationships/hyperlink" Target="https://pubmed.ncbi.nlm.nih.gov/?term=SLC47A1+rs2289669" TargetMode="External"/><Relationship Id="rId5" Type="http://schemas.openxmlformats.org/officeDocument/2006/relationships/hyperlink" Target="https://pubmed.ncbi.nlm.nih.gov/?term=ACVR1+rs387906589" TargetMode="External"/><Relationship Id="rId90" Type="http://schemas.openxmlformats.org/officeDocument/2006/relationships/hyperlink" Target="https://pubmed.ncbi.nlm.nih.gov/?term=HLA-B+HLA-B%2A57%3A01" TargetMode="External"/><Relationship Id="rId95" Type="http://schemas.openxmlformats.org/officeDocument/2006/relationships/hyperlink" Target="https://pubmed.ncbi.nlm.nih.gov/?term=HLA-DRB1+HLA-DRB1%2A07%3A01" TargetMode="External"/><Relationship Id="rId22" Type="http://schemas.openxmlformats.org/officeDocument/2006/relationships/hyperlink" Target="https://pubmed.ncbi.nlm.nih.gov/?term=BCL11A+rs11886868" TargetMode="External"/><Relationship Id="rId27" Type="http://schemas.openxmlformats.org/officeDocument/2006/relationships/hyperlink" Target="https://pubmed.ncbi.nlm.nih.gov/?term=CEP72+rs924607" TargetMode="External"/><Relationship Id="rId43" Type="http://schemas.openxmlformats.org/officeDocument/2006/relationships/hyperlink" Target="https://pubmed.ncbi.nlm.nih.gov/35034351/" TargetMode="External"/><Relationship Id="rId48" Type="http://schemas.openxmlformats.org/officeDocument/2006/relationships/hyperlink" Target="https://pubmed.ncbi.nlm.nih.gov/?term=CYP2D6+rs1065852" TargetMode="External"/><Relationship Id="rId64" Type="http://schemas.openxmlformats.org/officeDocument/2006/relationships/hyperlink" Target="https://pubmed.ncbi.nlm.nih.gov/?term=F2+rs1799963" TargetMode="External"/><Relationship Id="rId69" Type="http://schemas.openxmlformats.org/officeDocument/2006/relationships/hyperlink" Target="https://pubmed.ncbi.nlm.nih.gov/?term=FMO3+rs2266780" TargetMode="External"/><Relationship Id="rId113" Type="http://schemas.openxmlformats.org/officeDocument/2006/relationships/hyperlink" Target="https://pubmed.ncbi.nlm.nih.gov/?term=NAT2+rs1799930" TargetMode="External"/><Relationship Id="rId118" Type="http://schemas.openxmlformats.org/officeDocument/2006/relationships/hyperlink" Target="https://pubmed.ncbi.nlm.nih.gov/?term=NR3C1+rs41423247" TargetMode="External"/><Relationship Id="rId134" Type="http://schemas.openxmlformats.org/officeDocument/2006/relationships/hyperlink" Target="https://pubmed.ncbi.nlm.nih.gov/?term=TPMT+rs1142345" TargetMode="External"/><Relationship Id="rId139" Type="http://schemas.openxmlformats.org/officeDocument/2006/relationships/hyperlink" Target="https://pubmed.ncbi.nlm.nih.gov/?term=UGT1A1+rs4148323" TargetMode="External"/><Relationship Id="rId80" Type="http://schemas.openxmlformats.org/officeDocument/2006/relationships/hyperlink" Target="https://pubmed.ncbi.nlm.nih.gov/?term=HBG2+rs7482144" TargetMode="External"/><Relationship Id="rId85" Type="http://schemas.openxmlformats.org/officeDocument/2006/relationships/hyperlink" Target="https://pubmed.ncbi.nlm.nih.gov/?term=HLA-B+HLA-B%2A13%3A01" TargetMode="External"/><Relationship Id="rId12" Type="http://schemas.openxmlformats.org/officeDocument/2006/relationships/hyperlink" Target="https://pubmed.ncbi.nlm.nih.gov/?term=ADRB2+rs1042714" TargetMode="External"/><Relationship Id="rId17" Type="http://schemas.openxmlformats.org/officeDocument/2006/relationships/hyperlink" Target="https://pubmed.ncbi.nlm.nih.gov/?term=APOE+rs429358" TargetMode="External"/><Relationship Id="rId33" Type="http://schemas.openxmlformats.org/officeDocument/2006/relationships/hyperlink" Target="https://pubmed.ncbi.nlm.nih.gov/?term=COMT+rs4680" TargetMode="External"/><Relationship Id="rId38" Type="http://schemas.openxmlformats.org/officeDocument/2006/relationships/hyperlink" Target="https://pubmed.ncbi.nlm.nih.gov/?term=CYP2A6+rs28399433" TargetMode="External"/><Relationship Id="rId59" Type="http://schemas.openxmlformats.org/officeDocument/2006/relationships/hyperlink" Target="https://pubmed.ncbi.nlm.nih.gov/?term=DPYD+rs56038477" TargetMode="External"/><Relationship Id="rId103" Type="http://schemas.openxmlformats.org/officeDocument/2006/relationships/hyperlink" Target="https://pubmed.ncbi.nlm.nih.gov/?term=ITPA+rs7270101" TargetMode="External"/><Relationship Id="rId108" Type="http://schemas.openxmlformats.org/officeDocument/2006/relationships/hyperlink" Target="https://pubmed.ncbi.nlm.nih.gov/?term=MEFV+rs61752717" TargetMode="External"/><Relationship Id="rId124" Type="http://schemas.openxmlformats.org/officeDocument/2006/relationships/hyperlink" Target="https://pubmed.ncbi.nlm.nih.gov/?term=SERPINA1+rs28929474" TargetMode="External"/><Relationship Id="rId129" Type="http://schemas.openxmlformats.org/officeDocument/2006/relationships/hyperlink" Target="https://pubmed.ncbi.nlm.nih.gov/?term=SLCO1B1+rs11045879" TargetMode="External"/><Relationship Id="rId54" Type="http://schemas.openxmlformats.org/officeDocument/2006/relationships/hyperlink" Target="https://pubmed.ncbi.nlm.nih.gov/?term=CYP4F2+rs2108622" TargetMode="External"/><Relationship Id="rId70" Type="http://schemas.openxmlformats.org/officeDocument/2006/relationships/hyperlink" Target="https://pubmed.ncbi.nlm.nih.gov/?term=FMO3+rs2266782" TargetMode="External"/><Relationship Id="rId75" Type="http://schemas.openxmlformats.org/officeDocument/2006/relationships/hyperlink" Target="https://pubmed.ncbi.nlm.nih.gov/?term=GBA+rs76763715" TargetMode="External"/><Relationship Id="rId91" Type="http://schemas.openxmlformats.org/officeDocument/2006/relationships/hyperlink" Target="https://pubmed.ncbi.nlm.nih.gov/?term=HLA-B+HLA-B%2A58%3A01" TargetMode="External"/><Relationship Id="rId96" Type="http://schemas.openxmlformats.org/officeDocument/2006/relationships/hyperlink" Target="https://pubmed.ncbi.nlm.nih.gov/?term=HLA-DRB1+HLA-DRB1%2A15%3A01" TargetMode="External"/><Relationship Id="rId140" Type="http://schemas.openxmlformats.org/officeDocument/2006/relationships/hyperlink" Target="https://pubmed.ncbi.nlm.nih.gov/?term=UGT1A1+rs8175347" TargetMode="External"/><Relationship Id="rId145" Type="http://schemas.openxmlformats.org/officeDocument/2006/relationships/hyperlink" Target="https://pubmed.ncbi.nlm.nih.gov/?term=VEGFA+rs699947" TargetMode="External"/><Relationship Id="rId1" Type="http://schemas.openxmlformats.org/officeDocument/2006/relationships/hyperlink" Target="https://pubmed.ncbi.nlm.nih.gov/?term=ABCB1+rs1045642" TargetMode="External"/><Relationship Id="rId6" Type="http://schemas.openxmlformats.org/officeDocument/2006/relationships/hyperlink" Target="https://pubmed.ncbi.nlm.nih.gov/25583994/" TargetMode="External"/><Relationship Id="rId23" Type="http://schemas.openxmlformats.org/officeDocument/2006/relationships/hyperlink" Target="https://pubmed.ncbi.nlm.nih.gov/?term=BCL11A+rs1427407" TargetMode="External"/><Relationship Id="rId28" Type="http://schemas.openxmlformats.org/officeDocument/2006/relationships/hyperlink" Target="https://pubmed.ncbi.nlm.nih.gov/?term=CES1+rs2244613" TargetMode="External"/><Relationship Id="rId49" Type="http://schemas.openxmlformats.org/officeDocument/2006/relationships/hyperlink" Target="https://pubmed.ncbi.nlm.nih.gov/?term=CYP2D6+rs3892097" TargetMode="External"/><Relationship Id="rId114" Type="http://schemas.openxmlformats.org/officeDocument/2006/relationships/hyperlink" Target="https://pubmed.ncbi.nlm.nih.gov/?term=NAT2+rs1799931" TargetMode="External"/><Relationship Id="rId119" Type="http://schemas.openxmlformats.org/officeDocument/2006/relationships/hyperlink" Target="https://pubmed.ncbi.nlm.nih.gov/?term=NUDT15+rs116855232" TargetMode="External"/><Relationship Id="rId44" Type="http://schemas.openxmlformats.org/officeDocument/2006/relationships/hyperlink" Target="https://pubmed.ncbi.nlm.nih.gov/?term=CYP2C8+rs10509681" TargetMode="External"/><Relationship Id="rId60" Type="http://schemas.openxmlformats.org/officeDocument/2006/relationships/hyperlink" Target="https://pubmed.ncbi.nlm.nih.gov/?term=DPYD+rs67376798" TargetMode="External"/><Relationship Id="rId65" Type="http://schemas.openxmlformats.org/officeDocument/2006/relationships/hyperlink" Target="https://pubmed.ncbi.nlm.nih.gov/?term=F5+rs6025" TargetMode="External"/><Relationship Id="rId81" Type="http://schemas.openxmlformats.org/officeDocument/2006/relationships/hyperlink" Target="https://pubmed.ncbi.nlm.nih.gov/?term=HBS1L+rs9399137" TargetMode="External"/><Relationship Id="rId86" Type="http://schemas.openxmlformats.org/officeDocument/2006/relationships/hyperlink" Target="https://pubmed.ncbi.nlm.nih.gov/?term=HLA-B+HLA-B%2A15%3A02" TargetMode="External"/><Relationship Id="rId130" Type="http://schemas.openxmlformats.org/officeDocument/2006/relationships/hyperlink" Target="https://pubmed.ncbi.nlm.nih.gov/?term=SLCO1B1+rs4149056" TargetMode="External"/><Relationship Id="rId135" Type="http://schemas.openxmlformats.org/officeDocument/2006/relationships/hyperlink" Target="https://pubmed.ncbi.nlm.nih.gov/?term=TPMT+rs1800460" TargetMode="External"/><Relationship Id="rId13" Type="http://schemas.openxmlformats.org/officeDocument/2006/relationships/hyperlink" Target="https://pubmed.ncbi.nlm.nih.gov/?term=AGTR1+rs5186" TargetMode="External"/><Relationship Id="rId18" Type="http://schemas.openxmlformats.org/officeDocument/2006/relationships/hyperlink" Target="https://pubmed.ncbi.nlm.nih.gov/?term=APOE+rs7412" TargetMode="External"/><Relationship Id="rId39" Type="http://schemas.openxmlformats.org/officeDocument/2006/relationships/hyperlink" Target="https://pubmed.ncbi.nlm.nih.gov/?term=CYP2B6+rs28399499" TargetMode="External"/><Relationship Id="rId109" Type="http://schemas.openxmlformats.org/officeDocument/2006/relationships/hyperlink" Target="https://pubmed.ncbi.nlm.nih.gov/?term=MTHFR+rs1801131" TargetMode="External"/><Relationship Id="rId34" Type="http://schemas.openxmlformats.org/officeDocument/2006/relationships/hyperlink" Target="https://pubmed.ncbi.nlm.nih.gov/?term=CRHR1+rs1876828" TargetMode="External"/><Relationship Id="rId50" Type="http://schemas.openxmlformats.org/officeDocument/2006/relationships/hyperlink" Target="https://pubmed.ncbi.nlm.nih.gov/?term=CYP2E1+rs3813867" TargetMode="External"/><Relationship Id="rId55" Type="http://schemas.openxmlformats.org/officeDocument/2006/relationships/hyperlink" Target="https://pubmed.ncbi.nlm.nih.gov/?term=DBH+rs1611115" TargetMode="External"/><Relationship Id="rId76" Type="http://schemas.openxmlformats.org/officeDocument/2006/relationships/hyperlink" Target="https://pubmed.ncbi.nlm.nih.gov/?term=GLCCI1+rs37973" TargetMode="External"/><Relationship Id="rId97" Type="http://schemas.openxmlformats.org/officeDocument/2006/relationships/hyperlink" Target="https://pubmed.ncbi.nlm.nih.gov/?term=HTR2C+rs3813929" TargetMode="External"/><Relationship Id="rId104" Type="http://schemas.openxmlformats.org/officeDocument/2006/relationships/hyperlink" Target="https://pubmed.ncbi.nlm.nih.gov/?term=KCNJ11+rs5219" TargetMode="External"/><Relationship Id="rId120" Type="http://schemas.openxmlformats.org/officeDocument/2006/relationships/hyperlink" Target="https://pubmed.ncbi.nlm.nih.gov/?term=OPRM1+rs1799971" TargetMode="External"/><Relationship Id="rId125" Type="http://schemas.openxmlformats.org/officeDocument/2006/relationships/hyperlink" Target="https://pubmed.ncbi.nlm.nih.gov/?term=SLC22A1+rs12208357" TargetMode="External"/><Relationship Id="rId141" Type="http://schemas.openxmlformats.org/officeDocument/2006/relationships/hyperlink" Target="https://pubmed.ncbi.nlm.nih.gov/?term=UGT1A4+rs2011425" TargetMode="External"/><Relationship Id="rId146" Type="http://schemas.openxmlformats.org/officeDocument/2006/relationships/hyperlink" Target="https://pubmed.ncbi.nlm.nih.gov/?term=VKORC1+rs7294" TargetMode="External"/><Relationship Id="rId7" Type="http://schemas.openxmlformats.org/officeDocument/2006/relationships/hyperlink" Target="https://pubmed.ncbi.nlm.nih.gov/?term=ADD1+rs4961" TargetMode="External"/><Relationship Id="rId71" Type="http://schemas.openxmlformats.org/officeDocument/2006/relationships/hyperlink" Target="https://pubmed.ncbi.nlm.nih.gov/?term=FMO3+rs909530" TargetMode="External"/><Relationship Id="rId92" Type="http://schemas.openxmlformats.org/officeDocument/2006/relationships/hyperlink" Target="https://pubmed.ncbi.nlm.nih.gov/?term=HLA-DQA1+rs2097432" TargetMode="External"/><Relationship Id="rId2" Type="http://schemas.openxmlformats.org/officeDocument/2006/relationships/hyperlink" Target="https://pubmed.ncbi.nlm.nih.gov/?term=ABCC4+rs1751034" TargetMode="External"/><Relationship Id="rId29" Type="http://schemas.openxmlformats.org/officeDocument/2006/relationships/hyperlink" Target="https://pubmed.ncbi.nlm.nih.gov/?term=CES1+rs71647871" TargetMode="External"/><Relationship Id="rId24" Type="http://schemas.openxmlformats.org/officeDocument/2006/relationships/hyperlink" Target="https://pubmed.ncbi.nlm.nih.gov/?term=C3+rs2230199" TargetMode="External"/><Relationship Id="rId40" Type="http://schemas.openxmlformats.org/officeDocument/2006/relationships/hyperlink" Target="https://pubmed.ncbi.nlm.nih.gov/?term=CYP2B6+rs3745274" TargetMode="External"/><Relationship Id="rId45" Type="http://schemas.openxmlformats.org/officeDocument/2006/relationships/hyperlink" Target="https://pubmed.ncbi.nlm.nih.gov/?term=CYP2C8+rs11572103" TargetMode="External"/><Relationship Id="rId66" Type="http://schemas.openxmlformats.org/officeDocument/2006/relationships/hyperlink" Target="https://pubmed.ncbi.nlm.nih.gov/?term=FCGR3A+rs396991" TargetMode="External"/><Relationship Id="rId87" Type="http://schemas.openxmlformats.org/officeDocument/2006/relationships/hyperlink" Target="https://pubmed.ncbi.nlm.nih.gov/?term=HLA-B+HLA-B%2A35%3A02" TargetMode="External"/><Relationship Id="rId110" Type="http://schemas.openxmlformats.org/officeDocument/2006/relationships/hyperlink" Target="https://pubmed.ncbi.nlm.nih.gov/?term=MTHFR+rs1801133" TargetMode="External"/><Relationship Id="rId115" Type="http://schemas.openxmlformats.org/officeDocument/2006/relationships/hyperlink" Target="https://pubmed.ncbi.nlm.nih.gov/?term=NAT2+rs1801280" TargetMode="External"/><Relationship Id="rId131" Type="http://schemas.openxmlformats.org/officeDocument/2006/relationships/hyperlink" Target="https://pubmed.ncbi.nlm.nih.gov/?term=SULT1A1+rs1042028" TargetMode="External"/><Relationship Id="rId136" Type="http://schemas.openxmlformats.org/officeDocument/2006/relationships/hyperlink" Target="https://pubmed.ncbi.nlm.nih.gov/?term=TPMT+rs1800462" TargetMode="External"/><Relationship Id="rId61" Type="http://schemas.openxmlformats.org/officeDocument/2006/relationships/hyperlink" Target="https://pubmed.ncbi.nlm.nih.gov/?term=DPYD+rs75017182" TargetMode="External"/><Relationship Id="rId82" Type="http://schemas.openxmlformats.org/officeDocument/2006/relationships/hyperlink" Target="https://pubmed.ncbi.nlm.nih.gov/?term=HLA-A+HLA-A%2A31%3A01" TargetMode="External"/><Relationship Id="rId19" Type="http://schemas.openxmlformats.org/officeDocument/2006/relationships/hyperlink" Target="https://pubmed.ncbi.nlm.nih.gov/?term=ATP7B+rs76151636" TargetMode="External"/><Relationship Id="rId14" Type="http://schemas.openxmlformats.org/officeDocument/2006/relationships/hyperlink" Target="https://pubmed.ncbi.nlm.nih.gov/?term=ALDH2+rs671" TargetMode="External"/><Relationship Id="rId30" Type="http://schemas.openxmlformats.org/officeDocument/2006/relationships/hyperlink" Target="https://pubmed.ncbi.nlm.nih.gov/?term=CES1+rs8192935" TargetMode="External"/><Relationship Id="rId35" Type="http://schemas.openxmlformats.org/officeDocument/2006/relationships/hyperlink" Target="https://pubmed.ncbi.nlm.nih.gov/?term=CYP19A1+rs4646" TargetMode="External"/><Relationship Id="rId56" Type="http://schemas.openxmlformats.org/officeDocument/2006/relationships/hyperlink" Target="https://pubmed.ncbi.nlm.nih.gov/?term=DHODH+rs3213422" TargetMode="External"/><Relationship Id="rId77" Type="http://schemas.openxmlformats.org/officeDocument/2006/relationships/hyperlink" Target="https://pubmed.ncbi.nlm.nih.gov/?term=GSTA1+rs3957357" TargetMode="External"/><Relationship Id="rId100" Type="http://schemas.openxmlformats.org/officeDocument/2006/relationships/hyperlink" Target="https://pubmed.ncbi.nlm.nih.gov/?term=IL4R+rs1805010" TargetMode="External"/><Relationship Id="rId105" Type="http://schemas.openxmlformats.org/officeDocument/2006/relationships/hyperlink" Target="https://pubmed.ncbi.nlm.nih.gov/?term=KCNJ11+rs757110" TargetMode="External"/><Relationship Id="rId126" Type="http://schemas.openxmlformats.org/officeDocument/2006/relationships/hyperlink" Target="https://pubmed.ncbi.nlm.nih.gov/?term=SLC22A1+rs72552763" TargetMode="External"/><Relationship Id="rId147" Type="http://schemas.openxmlformats.org/officeDocument/2006/relationships/hyperlink" Target="https://pubmed.ncbi.nlm.nih.gov/?term=VKORC1+rs9923231" TargetMode="External"/><Relationship Id="rId8" Type="http://schemas.openxmlformats.org/officeDocument/2006/relationships/hyperlink" Target="https://pubmed.ncbi.nlm.nih.gov/?term=ADRA2A+rs1800544" TargetMode="External"/><Relationship Id="rId51" Type="http://schemas.openxmlformats.org/officeDocument/2006/relationships/hyperlink" Target="https://pubmed.ncbi.nlm.nih.gov/?term=CYP2E1+rs6413432" TargetMode="External"/><Relationship Id="rId72" Type="http://schemas.openxmlformats.org/officeDocument/2006/relationships/hyperlink" Target="https://pubmed.ncbi.nlm.nih.gov/?term=FSHR+rs6166" TargetMode="External"/><Relationship Id="rId93" Type="http://schemas.openxmlformats.org/officeDocument/2006/relationships/hyperlink" Target="https://pubmed.ncbi.nlm.nih.gov/?term=HLA-DQB1+rs113332494" TargetMode="External"/><Relationship Id="rId98" Type="http://schemas.openxmlformats.org/officeDocument/2006/relationships/hyperlink" Target="https://pubmed.ncbi.nlm.nih.gov/?term=IFNL3+rs12979860" TargetMode="External"/><Relationship Id="rId121" Type="http://schemas.openxmlformats.org/officeDocument/2006/relationships/hyperlink" Target="https://pubmed.ncbi.nlm.nih.gov/?term=PTGS1+rs10306114" TargetMode="External"/><Relationship Id="rId142" Type="http://schemas.openxmlformats.org/officeDocument/2006/relationships/hyperlink" Target="https://pubmed.ncbi.nlm.nih.gov/?term=UGT1A6+UGT1A6%2A2" TargetMode="External"/><Relationship Id="rId3" Type="http://schemas.openxmlformats.org/officeDocument/2006/relationships/hyperlink" Target="https://pubmed.ncbi.nlm.nih.gov/?term=ABCG2+rs2231142" TargetMode="External"/><Relationship Id="rId25" Type="http://schemas.openxmlformats.org/officeDocument/2006/relationships/hyperlink" Target="https://pubmed.ncbi.nlm.nih.gov/?term=C5+rs144361550" TargetMode="External"/><Relationship Id="rId46" Type="http://schemas.openxmlformats.org/officeDocument/2006/relationships/hyperlink" Target="https://pubmed.ncbi.nlm.nih.gov/?term=CYP2C9+rs1057910" TargetMode="External"/><Relationship Id="rId67" Type="http://schemas.openxmlformats.org/officeDocument/2006/relationships/hyperlink" Target="https://pubmed.ncbi.nlm.nih.gov/?term=FDPS+rs2297480" TargetMode="External"/><Relationship Id="rId116" Type="http://schemas.openxmlformats.org/officeDocument/2006/relationships/hyperlink" Target="https://pubmed.ncbi.nlm.nih.gov/?term=NEDD4L+rs4149601" TargetMode="External"/><Relationship Id="rId137" Type="http://schemas.openxmlformats.org/officeDocument/2006/relationships/hyperlink" Target="https://pubmed.ncbi.nlm.nih.gov/?term=TTR+rs28933979" TargetMode="External"/><Relationship Id="rId20" Type="http://schemas.openxmlformats.org/officeDocument/2006/relationships/hyperlink" Target="https://pubmed.ncbi.nlm.nih.gov/?term=BCHE+rs1799807" TargetMode="External"/><Relationship Id="rId41" Type="http://schemas.openxmlformats.org/officeDocument/2006/relationships/hyperlink" Target="https://pubmed.ncbi.nlm.nih.gov/35034351/" TargetMode="External"/><Relationship Id="rId62" Type="http://schemas.openxmlformats.org/officeDocument/2006/relationships/hyperlink" Target="https://pubmed.ncbi.nlm.nih.gov/?term=DRD2+rs1799732" TargetMode="External"/><Relationship Id="rId83" Type="http://schemas.openxmlformats.org/officeDocument/2006/relationships/hyperlink" Target="https://pubmed.ncbi.nlm.nih.gov/?term=HLA-A+HLA-A%2A32%3A01" TargetMode="External"/><Relationship Id="rId88" Type="http://schemas.openxmlformats.org/officeDocument/2006/relationships/hyperlink" Target="https://pubmed.ncbi.nlm.nih.gov/?term=HLA-B+HLA-B%2A35%3A05" TargetMode="External"/><Relationship Id="rId111" Type="http://schemas.openxmlformats.org/officeDocument/2006/relationships/hyperlink" Target="https://pubmed.ncbi.nlm.nih.gov/?term=MTR+rs1805087" TargetMode="External"/><Relationship Id="rId132" Type="http://schemas.openxmlformats.org/officeDocument/2006/relationships/hyperlink" Target="https://pubmed.ncbi.nlm.nih.gov/41011133/" TargetMode="External"/><Relationship Id="rId15" Type="http://schemas.openxmlformats.org/officeDocument/2006/relationships/hyperlink" Target="https://pubmed.ncbi.nlm.nih.gov/?term=APOA5+rs662799" TargetMode="External"/><Relationship Id="rId36" Type="http://schemas.openxmlformats.org/officeDocument/2006/relationships/hyperlink" Target="https://pubmed.ncbi.nlm.nih.gov/?term=CYP1A2+rs762551" TargetMode="External"/><Relationship Id="rId57" Type="http://schemas.openxmlformats.org/officeDocument/2006/relationships/hyperlink" Target="https://pubmed.ncbi.nlm.nih.gov/?term=DPYD+rs3918290" TargetMode="External"/><Relationship Id="rId106" Type="http://schemas.openxmlformats.org/officeDocument/2006/relationships/hyperlink" Target="https://pubmed.ncbi.nlm.nih.gov/?term=MAOA+rs6323" TargetMode="External"/><Relationship Id="rId127" Type="http://schemas.openxmlformats.org/officeDocument/2006/relationships/hyperlink" Target="https://pubmed.ncbi.nlm.nih.gov/?term=SLC28A3+rs7853758" TargetMode="External"/><Relationship Id="rId10" Type="http://schemas.openxmlformats.org/officeDocument/2006/relationships/hyperlink" Target="https://pubmed.ncbi.nlm.nih.gov/?term=ADRB1+rs1801253" TargetMode="External"/><Relationship Id="rId31" Type="http://schemas.openxmlformats.org/officeDocument/2006/relationships/hyperlink" Target="https://pubmed.ncbi.nlm.nih.gov/?term=CFB+rs641153" TargetMode="External"/><Relationship Id="rId52" Type="http://schemas.openxmlformats.org/officeDocument/2006/relationships/hyperlink" Target="https://pubmed.ncbi.nlm.nih.gov/?term=CYP3A4+rs35599367" TargetMode="External"/><Relationship Id="rId73" Type="http://schemas.openxmlformats.org/officeDocument/2006/relationships/hyperlink" Target="https://pubmed.ncbi.nlm.nih.gov/?term=G6PD+rs5030868" TargetMode="External"/><Relationship Id="rId78" Type="http://schemas.openxmlformats.org/officeDocument/2006/relationships/hyperlink" Target="https://pubmed.ncbi.nlm.nih.gov/?term=GSTP1+rs1695" TargetMode="External"/><Relationship Id="rId94" Type="http://schemas.openxmlformats.org/officeDocument/2006/relationships/hyperlink" Target="https://pubmed.ncbi.nlm.nih.gov/?term=HLA-DRB1+HLA-DRB1%2A02%3A01" TargetMode="External"/><Relationship Id="rId99" Type="http://schemas.openxmlformats.org/officeDocument/2006/relationships/hyperlink" Target="https://pubmed.ncbi.nlm.nih.gov/?term=IFNL3+rs8099917" TargetMode="External"/><Relationship Id="rId101" Type="http://schemas.openxmlformats.org/officeDocument/2006/relationships/hyperlink" Target="https://pubmed.ncbi.nlm.nih.gov/?term=ITGB3+rs5918" TargetMode="External"/><Relationship Id="rId122" Type="http://schemas.openxmlformats.org/officeDocument/2006/relationships/hyperlink" Target="https://pubmed.ncbi.nlm.nih.gov/?term=RARG+rs2229774" TargetMode="External"/><Relationship Id="rId143" Type="http://schemas.openxmlformats.org/officeDocument/2006/relationships/hyperlink" Target="https://pubmed.ncbi.nlm.nih.gov/?term=UGT1A9+rs17868320" TargetMode="External"/><Relationship Id="rId4" Type="http://schemas.openxmlformats.org/officeDocument/2006/relationships/hyperlink" Target="https://pubmed.ncbi.nlm.nih.gov/?term=ACE+rs4646994" TargetMode="External"/><Relationship Id="rId9" Type="http://schemas.openxmlformats.org/officeDocument/2006/relationships/hyperlink" Target="https://pubmed.ncbi.nlm.nih.gov/?term=ADRB1+rs1801252" TargetMode="External"/><Relationship Id="rId26" Type="http://schemas.openxmlformats.org/officeDocument/2006/relationships/hyperlink" Target="https://pubmed.ncbi.nlm.nih.gov/?term=CDA+rs2072671" TargetMode="External"/><Relationship Id="rId47" Type="http://schemas.openxmlformats.org/officeDocument/2006/relationships/hyperlink" Target="https://pubmed.ncbi.nlm.nih.gov/?term=CYP2C9+rs1799853" TargetMode="External"/><Relationship Id="rId68" Type="http://schemas.openxmlformats.org/officeDocument/2006/relationships/hyperlink" Target="https://pubmed.ncbi.nlm.nih.gov/?term=FGFR3+rs28931614" TargetMode="External"/><Relationship Id="rId89" Type="http://schemas.openxmlformats.org/officeDocument/2006/relationships/hyperlink" Target="https://pubmed.ncbi.nlm.nih.gov/?term=HLA-B+HLA-B%2A38%3A02" TargetMode="External"/><Relationship Id="rId112" Type="http://schemas.openxmlformats.org/officeDocument/2006/relationships/hyperlink" Target="https://pubmed.ncbi.nlm.nih.gov/?term=MTRR+rs1801394" TargetMode="External"/><Relationship Id="rId133" Type="http://schemas.openxmlformats.org/officeDocument/2006/relationships/hyperlink" Target="https://pubmed.ncbi.nlm.nih.gov/?term=TNF+rs1800629" TargetMode="External"/><Relationship Id="rId16" Type="http://schemas.openxmlformats.org/officeDocument/2006/relationships/hyperlink" Target="https://pubmed.ncbi.nlm.nih.gov/?term=APOB+rs5742904" TargetMode="External"/><Relationship Id="rId37" Type="http://schemas.openxmlformats.org/officeDocument/2006/relationships/hyperlink" Target="https://pubmed.ncbi.nlm.nih.gov/?term=CYP2A6+rs1801272" TargetMode="External"/><Relationship Id="rId58" Type="http://schemas.openxmlformats.org/officeDocument/2006/relationships/hyperlink" Target="https://pubmed.ncbi.nlm.nih.gov/?term=DPYD+rs55886062" TargetMode="External"/><Relationship Id="rId79" Type="http://schemas.openxmlformats.org/officeDocument/2006/relationships/hyperlink" Target="https://pubmed.ncbi.nlm.nih.gov/?term=HBB+rs334" TargetMode="External"/><Relationship Id="rId102" Type="http://schemas.openxmlformats.org/officeDocument/2006/relationships/hyperlink" Target="https://pubmed.ncbi.nlm.nih.gov/?term=ITPA+rs1127354" TargetMode="External"/><Relationship Id="rId123" Type="http://schemas.openxmlformats.org/officeDocument/2006/relationships/hyperlink" Target="https://pubmed.ncbi.nlm.nih.gov/?term=SERPINA1+rs17580" TargetMode="External"/><Relationship Id="rId144" Type="http://schemas.openxmlformats.org/officeDocument/2006/relationships/hyperlink" Target="https://pubmed.ncbi.nlm.nih.gov/?term=UGT2B7+rs74393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4" width="43.33203125" customWidth="1"/>
    <col min="5" max="6" width="18" customWidth="1"/>
    <col min="7" max="7" width="20" customWidth="1"/>
  </cols>
  <sheetData>
    <row r="1" spans="1:8" x14ac:dyDescent="0.2">
      <c r="A1" s="1" t="s">
        <v>0</v>
      </c>
      <c r="B1" s="1" t="s">
        <v>1</v>
      </c>
      <c r="C1" s="1" t="s">
        <v>292</v>
      </c>
      <c r="D1" s="1" t="s">
        <v>401</v>
      </c>
      <c r="E1" s="1" t="s">
        <v>2</v>
      </c>
      <c r="F1" s="1" t="s">
        <v>3</v>
      </c>
      <c r="G1" s="1" t="s">
        <v>4</v>
      </c>
    </row>
    <row r="2" spans="1:8" ht="18" x14ac:dyDescent="0.2">
      <c r="A2" s="2" t="s">
        <v>5</v>
      </c>
      <c r="B2" s="2" t="s">
        <v>6</v>
      </c>
      <c r="C2" s="10" t="s">
        <v>293</v>
      </c>
      <c r="D2" s="10">
        <v>40</v>
      </c>
      <c r="E2" s="3" t="s">
        <v>7</v>
      </c>
      <c r="F2" s="4" t="s">
        <v>8</v>
      </c>
      <c r="G2" s="5" t="s">
        <v>9</v>
      </c>
    </row>
    <row r="3" spans="1:8" ht="18" x14ac:dyDescent="0.2">
      <c r="A3" s="2" t="s">
        <v>10</v>
      </c>
      <c r="B3" s="2" t="s">
        <v>11</v>
      </c>
      <c r="C3" s="10" t="s">
        <v>294</v>
      </c>
      <c r="D3" s="10">
        <v>0</v>
      </c>
      <c r="E3" s="3" t="s">
        <v>12</v>
      </c>
      <c r="F3" s="4" t="s">
        <v>8</v>
      </c>
      <c r="G3" s="5" t="s">
        <v>9</v>
      </c>
    </row>
    <row r="4" spans="1:8" ht="18" x14ac:dyDescent="0.2">
      <c r="A4" s="2" t="s">
        <v>13</v>
      </c>
      <c r="B4" s="2" t="s">
        <v>14</v>
      </c>
      <c r="C4" s="10" t="s">
        <v>295</v>
      </c>
      <c r="D4" s="10">
        <v>0</v>
      </c>
      <c r="E4" s="3" t="s">
        <v>15</v>
      </c>
      <c r="F4" s="6" t="s">
        <v>16</v>
      </c>
      <c r="G4" s="5" t="s">
        <v>9</v>
      </c>
    </row>
    <row r="5" spans="1:8" ht="18" x14ac:dyDescent="0.2">
      <c r="A5" s="2" t="s">
        <v>17</v>
      </c>
      <c r="B5" s="9" t="s">
        <v>18</v>
      </c>
      <c r="C5" s="11"/>
      <c r="D5" s="11"/>
      <c r="E5" s="3" t="s">
        <v>19</v>
      </c>
      <c r="F5" s="4" t="s">
        <v>8</v>
      </c>
      <c r="G5" s="5" t="s">
        <v>9</v>
      </c>
    </row>
    <row r="6" spans="1:8" ht="18" x14ac:dyDescent="0.2">
      <c r="A6" s="2" t="s">
        <v>20</v>
      </c>
      <c r="B6" s="2" t="s">
        <v>21</v>
      </c>
      <c r="C6" s="10" t="s">
        <v>296</v>
      </c>
      <c r="D6" s="10">
        <v>0</v>
      </c>
      <c r="E6" s="7" t="s">
        <v>22</v>
      </c>
      <c r="F6" s="8" t="s">
        <v>23</v>
      </c>
      <c r="G6" s="5" t="s">
        <v>9</v>
      </c>
      <c r="H6" t="s">
        <v>363</v>
      </c>
    </row>
    <row r="7" spans="1:8" ht="18" x14ac:dyDescent="0.2">
      <c r="A7" s="2" t="s">
        <v>24</v>
      </c>
      <c r="B7" s="2" t="s">
        <v>25</v>
      </c>
      <c r="C7" s="10" t="s">
        <v>297</v>
      </c>
      <c r="D7" s="10">
        <v>47.51</v>
      </c>
      <c r="E7" s="3" t="s">
        <v>12</v>
      </c>
      <c r="F7" s="4" t="s">
        <v>8</v>
      </c>
      <c r="G7" s="5" t="s">
        <v>26</v>
      </c>
    </row>
    <row r="8" spans="1:8" ht="18" x14ac:dyDescent="0.2">
      <c r="A8" s="2" t="s">
        <v>27</v>
      </c>
      <c r="B8" s="2" t="s">
        <v>28</v>
      </c>
      <c r="C8" s="10" t="s">
        <v>298</v>
      </c>
      <c r="D8" s="10">
        <v>16.75</v>
      </c>
      <c r="E8" s="3" t="s">
        <v>29</v>
      </c>
      <c r="F8" s="4" t="s">
        <v>8</v>
      </c>
      <c r="G8" s="5" t="s">
        <v>9</v>
      </c>
    </row>
    <row r="9" spans="1:8" ht="18" x14ac:dyDescent="0.2">
      <c r="A9" s="2" t="s">
        <v>30</v>
      </c>
      <c r="B9" s="2" t="s">
        <v>31</v>
      </c>
      <c r="C9" s="10" t="s">
        <v>299</v>
      </c>
      <c r="D9" s="10">
        <v>49</v>
      </c>
      <c r="E9" s="3" t="s">
        <v>32</v>
      </c>
      <c r="F9" s="4" t="s">
        <v>8</v>
      </c>
      <c r="G9" s="5" t="s">
        <v>9</v>
      </c>
    </row>
    <row r="10" spans="1:8" ht="18" x14ac:dyDescent="0.2">
      <c r="A10" s="2" t="s">
        <v>33</v>
      </c>
      <c r="B10" s="2" t="s">
        <v>34</v>
      </c>
      <c r="C10" s="10" t="s">
        <v>300</v>
      </c>
      <c r="D10" s="10">
        <v>13.6</v>
      </c>
      <c r="E10" s="3" t="s">
        <v>35</v>
      </c>
      <c r="F10" s="4" t="s">
        <v>8</v>
      </c>
      <c r="G10" s="5" t="s">
        <v>9</v>
      </c>
    </row>
    <row r="11" spans="1:8" ht="18" x14ac:dyDescent="0.2">
      <c r="A11" s="2" t="s">
        <v>33</v>
      </c>
      <c r="B11" s="2" t="s">
        <v>36</v>
      </c>
      <c r="C11" s="10" t="s">
        <v>301</v>
      </c>
      <c r="D11" s="10">
        <v>29.4</v>
      </c>
      <c r="E11" s="3" t="s">
        <v>37</v>
      </c>
      <c r="F11" s="4" t="s">
        <v>8</v>
      </c>
      <c r="G11" s="5" t="s">
        <v>9</v>
      </c>
    </row>
    <row r="12" spans="1:8" ht="18" x14ac:dyDescent="0.2">
      <c r="A12" s="2" t="s">
        <v>38</v>
      </c>
      <c r="B12" s="2" t="s">
        <v>39</v>
      </c>
      <c r="C12" s="10" t="s">
        <v>302</v>
      </c>
      <c r="D12" s="10">
        <v>44.21</v>
      </c>
      <c r="E12" s="3" t="s">
        <v>7</v>
      </c>
      <c r="F12" s="4" t="s">
        <v>8</v>
      </c>
      <c r="G12" s="5" t="s">
        <v>9</v>
      </c>
    </row>
    <row r="13" spans="1:8" ht="18" x14ac:dyDescent="0.2">
      <c r="A13" s="2" t="s">
        <v>38</v>
      </c>
      <c r="B13" s="2" t="s">
        <v>40</v>
      </c>
      <c r="C13" s="10" t="s">
        <v>303</v>
      </c>
      <c r="D13" s="10">
        <v>17.600000000000001</v>
      </c>
      <c r="E13" s="3" t="s">
        <v>41</v>
      </c>
      <c r="F13" s="4" t="s">
        <v>8</v>
      </c>
      <c r="G13" s="5" t="s">
        <v>9</v>
      </c>
    </row>
    <row r="14" spans="1:8" ht="18" x14ac:dyDescent="0.2">
      <c r="A14" s="2" t="s">
        <v>42</v>
      </c>
      <c r="B14" s="2" t="s">
        <v>43</v>
      </c>
      <c r="C14" s="10" t="s">
        <v>304</v>
      </c>
      <c r="D14" s="10">
        <v>8.89</v>
      </c>
      <c r="E14" s="3" t="s">
        <v>41</v>
      </c>
      <c r="F14" s="4" t="s">
        <v>8</v>
      </c>
      <c r="G14" s="5" t="s">
        <v>9</v>
      </c>
    </row>
    <row r="15" spans="1:8" ht="18" x14ac:dyDescent="0.2">
      <c r="A15" s="2" t="s">
        <v>44</v>
      </c>
      <c r="B15" s="2" t="s">
        <v>45</v>
      </c>
      <c r="C15" s="10" t="s">
        <v>305</v>
      </c>
      <c r="D15" s="10">
        <f>VALUE(_xlfn.TEXTAFTER(C15,"="))*100</f>
        <v>6.9999999999999993E-2</v>
      </c>
      <c r="E15" s="3" t="s">
        <v>46</v>
      </c>
      <c r="F15" s="4" t="s">
        <v>8</v>
      </c>
      <c r="G15" s="5" t="s">
        <v>9</v>
      </c>
    </row>
    <row r="16" spans="1:8" ht="18" x14ac:dyDescent="0.2">
      <c r="A16" s="2" t="s">
        <v>47</v>
      </c>
      <c r="B16" s="2" t="s">
        <v>48</v>
      </c>
      <c r="C16" s="10" t="s">
        <v>306</v>
      </c>
      <c r="D16" s="10">
        <f t="shared" ref="D16:D79" si="0">VALUE(_xlfn.TEXTAFTER(C16,"="))*100</f>
        <v>15.790000000000001</v>
      </c>
      <c r="E16" s="3" t="s">
        <v>49</v>
      </c>
      <c r="F16" s="4" t="s">
        <v>8</v>
      </c>
      <c r="G16" s="5" t="s">
        <v>9</v>
      </c>
    </row>
    <row r="17" spans="1:8" ht="18" x14ac:dyDescent="0.2">
      <c r="A17" s="2" t="s">
        <v>50</v>
      </c>
      <c r="B17" s="2" t="s">
        <v>51</v>
      </c>
      <c r="C17" s="10" t="s">
        <v>307</v>
      </c>
      <c r="D17" s="10"/>
      <c r="E17" s="7" t="s">
        <v>22</v>
      </c>
      <c r="F17" s="8" t="s">
        <v>23</v>
      </c>
      <c r="G17" s="5" t="s">
        <v>9</v>
      </c>
    </row>
    <row r="18" spans="1:8" ht="18" x14ac:dyDescent="0.2">
      <c r="A18" s="2" t="s">
        <v>52</v>
      </c>
      <c r="B18" s="2" t="s">
        <v>53</v>
      </c>
      <c r="C18" s="10" t="s">
        <v>308</v>
      </c>
      <c r="D18" s="10">
        <f t="shared" si="0"/>
        <v>2.25</v>
      </c>
      <c r="E18" s="7" t="s">
        <v>22</v>
      </c>
      <c r="F18" s="8" t="s">
        <v>23</v>
      </c>
      <c r="G18" s="5" t="s">
        <v>9</v>
      </c>
    </row>
    <row r="19" spans="1:8" ht="18" x14ac:dyDescent="0.2">
      <c r="A19" s="2" t="s">
        <v>52</v>
      </c>
      <c r="B19" s="2" t="s">
        <v>54</v>
      </c>
      <c r="C19" s="10" t="s">
        <v>309</v>
      </c>
      <c r="D19" s="10">
        <f t="shared" si="0"/>
        <v>3.58</v>
      </c>
      <c r="E19" s="7" t="s">
        <v>22</v>
      </c>
      <c r="F19" s="8" t="s">
        <v>23</v>
      </c>
      <c r="G19" s="5" t="s">
        <v>9</v>
      </c>
    </row>
    <row r="20" spans="1:8" ht="18" x14ac:dyDescent="0.2">
      <c r="A20" s="2" t="s">
        <v>55</v>
      </c>
      <c r="B20" s="2" t="s">
        <v>56</v>
      </c>
      <c r="C20" s="10" t="s">
        <v>310</v>
      </c>
      <c r="D20" s="10">
        <v>0</v>
      </c>
      <c r="E20" s="7" t="s">
        <v>22</v>
      </c>
      <c r="F20" s="8" t="s">
        <v>23</v>
      </c>
      <c r="G20" s="5" t="s">
        <v>9</v>
      </c>
    </row>
    <row r="21" spans="1:8" ht="18" x14ac:dyDescent="0.2">
      <c r="A21" s="2" t="s">
        <v>57</v>
      </c>
      <c r="B21" s="2" t="s">
        <v>58</v>
      </c>
      <c r="C21" s="10" t="s">
        <v>311</v>
      </c>
      <c r="D21" s="10">
        <f t="shared" si="0"/>
        <v>0.24</v>
      </c>
      <c r="E21" s="3" t="s">
        <v>59</v>
      </c>
      <c r="F21" s="6" t="s">
        <v>16</v>
      </c>
      <c r="G21" s="5" t="s">
        <v>9</v>
      </c>
    </row>
    <row r="22" spans="1:8" ht="18" x14ac:dyDescent="0.2">
      <c r="A22" s="2" t="s">
        <v>57</v>
      </c>
      <c r="B22" s="2" t="s">
        <v>60</v>
      </c>
      <c r="C22" s="10" t="s">
        <v>312</v>
      </c>
      <c r="D22" s="10">
        <f t="shared" si="0"/>
        <v>19.78</v>
      </c>
      <c r="E22" s="3" t="s">
        <v>35</v>
      </c>
      <c r="F22" s="6" t="s">
        <v>16</v>
      </c>
      <c r="G22" s="5" t="s">
        <v>9</v>
      </c>
    </row>
    <row r="23" spans="1:8" ht="18" x14ac:dyDescent="0.2">
      <c r="A23" s="2" t="s">
        <v>61</v>
      </c>
      <c r="B23" s="2" t="s">
        <v>62</v>
      </c>
      <c r="C23" s="10" t="s">
        <v>313</v>
      </c>
      <c r="D23" s="10">
        <f t="shared" si="0"/>
        <v>42.94</v>
      </c>
      <c r="E23" s="7" t="s">
        <v>22</v>
      </c>
      <c r="F23" s="8" t="s">
        <v>23</v>
      </c>
      <c r="G23" s="5" t="s">
        <v>9</v>
      </c>
    </row>
    <row r="24" spans="1:8" ht="18" x14ac:dyDescent="0.2">
      <c r="A24" s="2" t="s">
        <v>61</v>
      </c>
      <c r="B24" s="2" t="s">
        <v>63</v>
      </c>
      <c r="C24" s="10" t="s">
        <v>295</v>
      </c>
      <c r="D24" s="10">
        <f t="shared" si="0"/>
        <v>0</v>
      </c>
      <c r="E24" s="7" t="s">
        <v>22</v>
      </c>
      <c r="F24" s="8" t="s">
        <v>23</v>
      </c>
      <c r="G24" s="5" t="s">
        <v>9</v>
      </c>
    </row>
    <row r="25" spans="1:8" ht="18" x14ac:dyDescent="0.2">
      <c r="A25" s="2" t="s">
        <v>64</v>
      </c>
      <c r="B25" s="2" t="s">
        <v>65</v>
      </c>
      <c r="C25" s="10" t="s">
        <v>314</v>
      </c>
      <c r="D25" s="10">
        <v>0</v>
      </c>
      <c r="E25" s="7" t="s">
        <v>22</v>
      </c>
      <c r="F25" s="6" t="s">
        <v>16</v>
      </c>
      <c r="G25" s="5" t="s">
        <v>9</v>
      </c>
    </row>
    <row r="26" spans="1:8" ht="57" x14ac:dyDescent="0.2">
      <c r="A26" s="2" t="s">
        <v>66</v>
      </c>
      <c r="B26" s="2" t="s">
        <v>67</v>
      </c>
      <c r="C26" s="12" t="s">
        <v>315</v>
      </c>
      <c r="D26" s="10">
        <v>0</v>
      </c>
      <c r="E26" s="7" t="s">
        <v>22</v>
      </c>
      <c r="F26" s="6" t="s">
        <v>16</v>
      </c>
      <c r="G26" s="5" t="s">
        <v>9</v>
      </c>
      <c r="H26" t="s">
        <v>364</v>
      </c>
    </row>
    <row r="27" spans="1:8" ht="18" x14ac:dyDescent="0.2">
      <c r="A27" s="2" t="s">
        <v>68</v>
      </c>
      <c r="B27" s="2" t="s">
        <v>69</v>
      </c>
      <c r="C27" s="10" t="s">
        <v>316</v>
      </c>
      <c r="D27" s="10">
        <f t="shared" si="0"/>
        <v>22.06</v>
      </c>
      <c r="E27" s="3" t="s">
        <v>29</v>
      </c>
      <c r="F27" s="4" t="s">
        <v>8</v>
      </c>
      <c r="G27" s="5" t="s">
        <v>9</v>
      </c>
    </row>
    <row r="28" spans="1:8" ht="18" x14ac:dyDescent="0.2">
      <c r="A28" s="2" t="s">
        <v>70</v>
      </c>
      <c r="B28" s="2" t="s">
        <v>71</v>
      </c>
      <c r="C28" s="10" t="s">
        <v>317</v>
      </c>
      <c r="D28" s="10">
        <f t="shared" si="0"/>
        <v>39.5</v>
      </c>
      <c r="E28" s="3" t="s">
        <v>72</v>
      </c>
      <c r="F28" s="4" t="s">
        <v>8</v>
      </c>
      <c r="G28" s="5" t="s">
        <v>9</v>
      </c>
    </row>
    <row r="29" spans="1:8" ht="18" x14ac:dyDescent="0.2">
      <c r="A29" s="2" t="s">
        <v>73</v>
      </c>
      <c r="B29" s="2" t="s">
        <v>74</v>
      </c>
      <c r="C29" s="10" t="s">
        <v>318</v>
      </c>
      <c r="D29" s="10">
        <f t="shared" si="0"/>
        <v>0</v>
      </c>
      <c r="E29" s="3" t="s">
        <v>41</v>
      </c>
      <c r="F29" s="4" t="s">
        <v>8</v>
      </c>
      <c r="G29" s="5" t="s">
        <v>9</v>
      </c>
    </row>
    <row r="30" spans="1:8" ht="18" x14ac:dyDescent="0.2">
      <c r="A30" s="2" t="s">
        <v>73</v>
      </c>
      <c r="B30" s="2" t="s">
        <v>75</v>
      </c>
      <c r="C30" s="10" t="s">
        <v>319</v>
      </c>
      <c r="D30" s="10">
        <f t="shared" si="0"/>
        <v>0</v>
      </c>
      <c r="E30" s="3" t="s">
        <v>76</v>
      </c>
      <c r="F30" s="4" t="s">
        <v>8</v>
      </c>
      <c r="G30" s="5" t="s">
        <v>9</v>
      </c>
    </row>
    <row r="31" spans="1:8" ht="18" x14ac:dyDescent="0.2">
      <c r="A31" s="2" t="s">
        <v>73</v>
      </c>
      <c r="B31" s="2" t="s">
        <v>77</v>
      </c>
      <c r="C31" s="10" t="s">
        <v>320</v>
      </c>
      <c r="D31" s="10">
        <f t="shared" si="0"/>
        <v>43.3</v>
      </c>
      <c r="E31" s="3" t="s">
        <v>12</v>
      </c>
      <c r="F31" s="4" t="s">
        <v>8</v>
      </c>
      <c r="G31" s="5" t="s">
        <v>9</v>
      </c>
    </row>
    <row r="32" spans="1:8" ht="18" x14ac:dyDescent="0.2">
      <c r="A32" s="2" t="s">
        <v>78</v>
      </c>
      <c r="B32" s="2" t="s">
        <v>79</v>
      </c>
      <c r="C32" s="10" t="s">
        <v>321</v>
      </c>
      <c r="D32" s="10">
        <f t="shared" si="0"/>
        <v>10.100000000000001</v>
      </c>
      <c r="E32" s="7" t="s">
        <v>22</v>
      </c>
      <c r="F32" s="6" t="s">
        <v>16</v>
      </c>
      <c r="G32" s="5" t="s">
        <v>9</v>
      </c>
    </row>
    <row r="33" spans="1:7" ht="18" x14ac:dyDescent="0.2">
      <c r="A33" s="2" t="s">
        <v>80</v>
      </c>
      <c r="B33" s="2" t="s">
        <v>81</v>
      </c>
      <c r="C33" s="10" t="s">
        <v>322</v>
      </c>
      <c r="D33" s="10">
        <f t="shared" si="0"/>
        <v>26.240000000000002</v>
      </c>
      <c r="E33" s="3" t="s">
        <v>49</v>
      </c>
      <c r="F33" s="4" t="s">
        <v>8</v>
      </c>
      <c r="G33" s="5" t="s">
        <v>9</v>
      </c>
    </row>
    <row r="34" spans="1:7" ht="18" x14ac:dyDescent="0.2">
      <c r="A34" s="2" t="s">
        <v>82</v>
      </c>
      <c r="B34" s="2" t="s">
        <v>83</v>
      </c>
      <c r="C34" s="10" t="s">
        <v>323</v>
      </c>
      <c r="D34" s="10">
        <f t="shared" si="0"/>
        <v>44.78</v>
      </c>
      <c r="E34" s="3" t="s">
        <v>49</v>
      </c>
      <c r="F34" s="6" t="s">
        <v>16</v>
      </c>
      <c r="G34" s="5" t="s">
        <v>9</v>
      </c>
    </row>
    <row r="35" spans="1:7" ht="18" x14ac:dyDescent="0.2">
      <c r="A35" s="2" t="s">
        <v>84</v>
      </c>
      <c r="B35" s="2" t="s">
        <v>85</v>
      </c>
      <c r="C35" s="10" t="s">
        <v>324</v>
      </c>
      <c r="D35" s="10">
        <f t="shared" si="0"/>
        <v>6.6000000000000005</v>
      </c>
      <c r="E35" s="3" t="s">
        <v>35</v>
      </c>
      <c r="F35" s="4" t="s">
        <v>8</v>
      </c>
      <c r="G35" s="5" t="s">
        <v>9</v>
      </c>
    </row>
    <row r="36" spans="1:7" ht="18" x14ac:dyDescent="0.2">
      <c r="A36" s="2" t="s">
        <v>86</v>
      </c>
      <c r="B36" s="2" t="s">
        <v>87</v>
      </c>
      <c r="C36" s="10" t="s">
        <v>325</v>
      </c>
      <c r="D36" s="10">
        <f t="shared" si="0"/>
        <v>37.26</v>
      </c>
      <c r="E36" s="3" t="s">
        <v>49</v>
      </c>
      <c r="F36" s="4" t="s">
        <v>8</v>
      </c>
      <c r="G36" s="5" t="s">
        <v>9</v>
      </c>
    </row>
    <row r="37" spans="1:7" ht="18" x14ac:dyDescent="0.2">
      <c r="A37" s="2" t="s">
        <v>88</v>
      </c>
      <c r="B37" s="2" t="s">
        <v>89</v>
      </c>
      <c r="C37" s="10" t="s">
        <v>326</v>
      </c>
      <c r="D37" s="10">
        <f t="shared" si="0"/>
        <v>0</v>
      </c>
      <c r="E37" s="3" t="s">
        <v>90</v>
      </c>
      <c r="F37" s="6" t="s">
        <v>16</v>
      </c>
      <c r="G37" s="5" t="s">
        <v>9</v>
      </c>
    </row>
    <row r="38" spans="1:7" ht="18" x14ac:dyDescent="0.2">
      <c r="A38" s="2" t="s">
        <v>91</v>
      </c>
      <c r="B38" s="2" t="s">
        <v>92</v>
      </c>
      <c r="C38" s="10" t="s">
        <v>327</v>
      </c>
      <c r="D38" s="10">
        <f t="shared" si="0"/>
        <v>0</v>
      </c>
      <c r="E38" s="7" t="s">
        <v>22</v>
      </c>
      <c r="F38" s="4" t="s">
        <v>8</v>
      </c>
      <c r="G38" s="5" t="s">
        <v>9</v>
      </c>
    </row>
    <row r="39" spans="1:7" ht="18" x14ac:dyDescent="0.2">
      <c r="A39" s="2" t="s">
        <v>91</v>
      </c>
      <c r="B39" s="2" t="s">
        <v>93</v>
      </c>
      <c r="C39" s="10" t="s">
        <v>327</v>
      </c>
      <c r="D39" s="10">
        <f t="shared" si="0"/>
        <v>0</v>
      </c>
      <c r="E39" s="7" t="s">
        <v>22</v>
      </c>
      <c r="F39" s="4" t="s">
        <v>8</v>
      </c>
      <c r="G39" s="5" t="s">
        <v>9</v>
      </c>
    </row>
    <row r="40" spans="1:7" ht="18" x14ac:dyDescent="0.2">
      <c r="A40" s="2" t="s">
        <v>94</v>
      </c>
      <c r="B40" s="2" t="s">
        <v>95</v>
      </c>
      <c r="C40" s="10" t="s">
        <v>295</v>
      </c>
      <c r="D40" s="10">
        <f t="shared" si="0"/>
        <v>0</v>
      </c>
      <c r="E40" s="3" t="s">
        <v>96</v>
      </c>
      <c r="F40" s="8" t="s">
        <v>23</v>
      </c>
      <c r="G40" s="5" t="s">
        <v>9</v>
      </c>
    </row>
    <row r="41" spans="1:7" ht="18" x14ac:dyDescent="0.2">
      <c r="A41" s="2" t="s">
        <v>94</v>
      </c>
      <c r="B41" s="2" t="s">
        <v>97</v>
      </c>
      <c r="C41" s="10" t="s">
        <v>328</v>
      </c>
      <c r="D41" s="10">
        <f t="shared" si="0"/>
        <v>39.17</v>
      </c>
      <c r="E41" s="3" t="s">
        <v>49</v>
      </c>
      <c r="F41" s="8" t="s">
        <v>23</v>
      </c>
      <c r="G41" s="5" t="s">
        <v>9</v>
      </c>
    </row>
    <row r="42" spans="1:7" ht="18" x14ac:dyDescent="0.2">
      <c r="A42" s="2" t="s">
        <v>98</v>
      </c>
      <c r="B42" s="2" t="s">
        <v>99</v>
      </c>
      <c r="C42" s="10" t="s">
        <v>329</v>
      </c>
      <c r="D42" s="10">
        <f t="shared" si="0"/>
        <v>12</v>
      </c>
      <c r="E42" s="3" t="s">
        <v>35</v>
      </c>
      <c r="F42" s="8" t="s">
        <v>23</v>
      </c>
      <c r="G42" s="5" t="s">
        <v>100</v>
      </c>
    </row>
    <row r="43" spans="1:7" ht="18" x14ac:dyDescent="0.2">
      <c r="A43" s="2" t="s">
        <v>98</v>
      </c>
      <c r="B43" s="2" t="s">
        <v>101</v>
      </c>
      <c r="C43" s="10" t="s">
        <v>330</v>
      </c>
      <c r="D43" s="10">
        <f t="shared" si="0"/>
        <v>0</v>
      </c>
      <c r="E43" s="3" t="s">
        <v>102</v>
      </c>
      <c r="F43" s="8" t="s">
        <v>23</v>
      </c>
      <c r="G43" s="5" t="s">
        <v>100</v>
      </c>
    </row>
    <row r="44" spans="1:7" ht="18" x14ac:dyDescent="0.2">
      <c r="A44" s="2" t="s">
        <v>98</v>
      </c>
      <c r="B44" s="2" t="s">
        <v>103</v>
      </c>
      <c r="C44" s="10" t="s">
        <v>331</v>
      </c>
      <c r="D44" s="10">
        <f t="shared" si="0"/>
        <v>0.32</v>
      </c>
      <c r="E44" s="3" t="s">
        <v>59</v>
      </c>
      <c r="F44" s="8" t="s">
        <v>23</v>
      </c>
      <c r="G44" s="5" t="s">
        <v>100</v>
      </c>
    </row>
    <row r="45" spans="1:7" ht="18" x14ac:dyDescent="0.2">
      <c r="A45" s="2" t="s">
        <v>104</v>
      </c>
      <c r="B45" s="2" t="s">
        <v>105</v>
      </c>
      <c r="C45" s="10" t="s">
        <v>332</v>
      </c>
      <c r="D45" s="10">
        <f t="shared" si="0"/>
        <v>4.05</v>
      </c>
      <c r="E45" s="3" t="s">
        <v>106</v>
      </c>
      <c r="F45" s="6" t="s">
        <v>16</v>
      </c>
      <c r="G45" s="5" t="s">
        <v>9</v>
      </c>
    </row>
    <row r="46" spans="1:7" ht="18" x14ac:dyDescent="0.2">
      <c r="A46" s="2" t="s">
        <v>104</v>
      </c>
      <c r="B46" s="2" t="s">
        <v>107</v>
      </c>
      <c r="C46" s="10" t="s">
        <v>333</v>
      </c>
      <c r="D46" s="10">
        <f t="shared" si="0"/>
        <v>0</v>
      </c>
      <c r="E46" s="3" t="s">
        <v>59</v>
      </c>
      <c r="F46" s="6" t="s">
        <v>16</v>
      </c>
      <c r="G46" s="5" t="s">
        <v>9</v>
      </c>
    </row>
    <row r="47" spans="1:7" ht="18" x14ac:dyDescent="0.2">
      <c r="A47" s="2" t="s">
        <v>108</v>
      </c>
      <c r="B47" s="2" t="s">
        <v>109</v>
      </c>
      <c r="C47" s="10" t="s">
        <v>326</v>
      </c>
      <c r="D47" s="10">
        <f t="shared" si="0"/>
        <v>0</v>
      </c>
      <c r="E47" s="3" t="s">
        <v>110</v>
      </c>
      <c r="F47" s="8" t="s">
        <v>23</v>
      </c>
      <c r="G47" s="5" t="s">
        <v>9</v>
      </c>
    </row>
    <row r="48" spans="1:7" ht="18" x14ac:dyDescent="0.2">
      <c r="A48" s="2" t="s">
        <v>108</v>
      </c>
      <c r="B48" s="2" t="s">
        <v>111</v>
      </c>
      <c r="C48" s="10" t="s">
        <v>334</v>
      </c>
      <c r="D48" s="10">
        <f t="shared" si="0"/>
        <v>4.5999999999999996</v>
      </c>
      <c r="E48" s="3" t="s">
        <v>76</v>
      </c>
      <c r="F48" s="8" t="s">
        <v>23</v>
      </c>
      <c r="G48" s="5" t="s">
        <v>9</v>
      </c>
    </row>
    <row r="49" spans="1:7" ht="18" x14ac:dyDescent="0.2">
      <c r="A49" s="2" t="s">
        <v>112</v>
      </c>
      <c r="B49" s="2" t="s">
        <v>113</v>
      </c>
      <c r="C49" s="10" t="s">
        <v>335</v>
      </c>
      <c r="D49" s="10">
        <f t="shared" si="0"/>
        <v>20</v>
      </c>
      <c r="E49" s="3" t="s">
        <v>35</v>
      </c>
      <c r="F49" s="8" t="s">
        <v>23</v>
      </c>
      <c r="G49" s="5" t="s">
        <v>9</v>
      </c>
    </row>
    <row r="50" spans="1:7" ht="18" x14ac:dyDescent="0.2">
      <c r="A50" s="2" t="s">
        <v>112</v>
      </c>
      <c r="B50" s="2" t="s">
        <v>114</v>
      </c>
      <c r="C50" s="10" t="s">
        <v>336</v>
      </c>
      <c r="D50" s="10">
        <f t="shared" si="0"/>
        <v>20.599999999999998</v>
      </c>
      <c r="E50" s="3" t="s">
        <v>110</v>
      </c>
      <c r="F50" s="8" t="s">
        <v>23</v>
      </c>
      <c r="G50" s="5" t="s">
        <v>9</v>
      </c>
    </row>
    <row r="51" spans="1:7" ht="18" x14ac:dyDescent="0.2">
      <c r="A51" s="2" t="s">
        <v>115</v>
      </c>
      <c r="B51" s="2" t="s">
        <v>116</v>
      </c>
      <c r="C51" s="10" t="s">
        <v>337</v>
      </c>
      <c r="D51" s="10">
        <v>0</v>
      </c>
      <c r="E51" s="7" t="s">
        <v>22</v>
      </c>
      <c r="F51" s="4" t="s">
        <v>8</v>
      </c>
      <c r="G51" s="5" t="s">
        <v>9</v>
      </c>
    </row>
    <row r="52" spans="1:7" ht="18" x14ac:dyDescent="0.2">
      <c r="A52" s="2" t="s">
        <v>115</v>
      </c>
      <c r="B52" s="2" t="s">
        <v>117</v>
      </c>
      <c r="C52" s="10" t="s">
        <v>338</v>
      </c>
      <c r="D52" s="10">
        <f t="shared" si="0"/>
        <v>17.599999999999998</v>
      </c>
      <c r="E52" s="7" t="s">
        <v>22</v>
      </c>
      <c r="F52" s="4" t="s">
        <v>8</v>
      </c>
      <c r="G52" s="5" t="s">
        <v>9</v>
      </c>
    </row>
    <row r="53" spans="1:7" ht="18" x14ac:dyDescent="0.2">
      <c r="A53" s="2" t="s">
        <v>118</v>
      </c>
      <c r="B53" s="2" t="s">
        <v>119</v>
      </c>
      <c r="C53" s="10" t="s">
        <v>339</v>
      </c>
      <c r="D53" s="10">
        <f t="shared" si="0"/>
        <v>0.57999999999999996</v>
      </c>
      <c r="E53" s="3" t="s">
        <v>76</v>
      </c>
      <c r="F53" s="6" t="s">
        <v>16</v>
      </c>
      <c r="G53" s="5" t="s">
        <v>9</v>
      </c>
    </row>
    <row r="54" spans="1:7" ht="18" x14ac:dyDescent="0.2">
      <c r="A54" s="2" t="s">
        <v>120</v>
      </c>
      <c r="B54" s="2" t="s">
        <v>121</v>
      </c>
      <c r="C54" s="10" t="s">
        <v>340</v>
      </c>
      <c r="D54" s="10">
        <f t="shared" si="0"/>
        <v>25.590000000000003</v>
      </c>
      <c r="E54" s="3" t="s">
        <v>90</v>
      </c>
      <c r="F54" s="8" t="s">
        <v>23</v>
      </c>
      <c r="G54" s="5" t="s">
        <v>9</v>
      </c>
    </row>
    <row r="55" spans="1:7" ht="18" x14ac:dyDescent="0.2">
      <c r="A55" s="2" t="s">
        <v>122</v>
      </c>
      <c r="B55" s="2" t="s">
        <v>123</v>
      </c>
      <c r="C55" s="10" t="s">
        <v>326</v>
      </c>
      <c r="D55" s="10">
        <f t="shared" si="0"/>
        <v>0</v>
      </c>
      <c r="E55" s="3" t="s">
        <v>49</v>
      </c>
      <c r="F55" s="6" t="s">
        <v>16</v>
      </c>
      <c r="G55" s="5" t="s">
        <v>9</v>
      </c>
    </row>
    <row r="56" spans="1:7" ht="18" x14ac:dyDescent="0.2">
      <c r="A56" s="2" t="s">
        <v>124</v>
      </c>
      <c r="B56" s="2" t="s">
        <v>125</v>
      </c>
      <c r="C56" s="10" t="s">
        <v>319</v>
      </c>
      <c r="D56" s="10">
        <f t="shared" si="0"/>
        <v>0</v>
      </c>
      <c r="E56" s="7" t="s">
        <v>22</v>
      </c>
      <c r="F56" s="4" t="s">
        <v>8</v>
      </c>
      <c r="G56" s="5" t="s">
        <v>9</v>
      </c>
    </row>
    <row r="57" spans="1:7" ht="18" x14ac:dyDescent="0.2">
      <c r="A57" s="2" t="s">
        <v>126</v>
      </c>
      <c r="B57" s="2" t="s">
        <v>127</v>
      </c>
      <c r="C57" s="10" t="s">
        <v>341</v>
      </c>
      <c r="D57" s="10">
        <f t="shared" si="0"/>
        <v>47.11</v>
      </c>
      <c r="E57" s="3" t="s">
        <v>49</v>
      </c>
      <c r="F57" s="4" t="s">
        <v>8</v>
      </c>
      <c r="G57" s="5" t="s">
        <v>9</v>
      </c>
    </row>
    <row r="58" spans="1:7" ht="18" x14ac:dyDescent="0.2">
      <c r="A58" s="2" t="s">
        <v>128</v>
      </c>
      <c r="B58" s="2" t="s">
        <v>129</v>
      </c>
      <c r="C58" s="10" t="s">
        <v>326</v>
      </c>
      <c r="D58" s="10">
        <f t="shared" si="0"/>
        <v>0</v>
      </c>
      <c r="E58" s="3" t="s">
        <v>130</v>
      </c>
      <c r="F58" s="8" t="s">
        <v>23</v>
      </c>
      <c r="G58" s="5" t="s">
        <v>9</v>
      </c>
    </row>
    <row r="59" spans="1:7" ht="18" x14ac:dyDescent="0.2">
      <c r="A59" s="2" t="s">
        <v>128</v>
      </c>
      <c r="B59" s="2" t="s">
        <v>131</v>
      </c>
      <c r="C59" s="10" t="s">
        <v>342</v>
      </c>
      <c r="D59" s="10">
        <f t="shared" si="0"/>
        <v>0</v>
      </c>
      <c r="E59" s="3" t="s">
        <v>130</v>
      </c>
      <c r="F59" s="8" t="s">
        <v>23</v>
      </c>
      <c r="G59" s="5" t="s">
        <v>9</v>
      </c>
    </row>
    <row r="60" spans="1:7" ht="18" x14ac:dyDescent="0.2">
      <c r="A60" s="2" t="s">
        <v>128</v>
      </c>
      <c r="B60" s="2" t="s">
        <v>132</v>
      </c>
      <c r="C60" s="10" t="s">
        <v>343</v>
      </c>
      <c r="D60" s="10">
        <f t="shared" si="0"/>
        <v>1.6</v>
      </c>
      <c r="E60" s="3" t="s">
        <v>59</v>
      </c>
      <c r="F60" s="8" t="s">
        <v>23</v>
      </c>
      <c r="G60" s="5" t="s">
        <v>9</v>
      </c>
    </row>
    <row r="61" spans="1:7" ht="18" x14ac:dyDescent="0.2">
      <c r="A61" s="2" t="s">
        <v>128</v>
      </c>
      <c r="B61" s="2" t="s">
        <v>133</v>
      </c>
      <c r="C61" s="10" t="s">
        <v>319</v>
      </c>
      <c r="D61" s="10">
        <f t="shared" si="0"/>
        <v>0</v>
      </c>
      <c r="E61" s="3" t="s">
        <v>130</v>
      </c>
      <c r="F61" s="8" t="s">
        <v>23</v>
      </c>
      <c r="G61" s="5" t="s">
        <v>9</v>
      </c>
    </row>
    <row r="62" spans="1:7" ht="18" x14ac:dyDescent="0.2">
      <c r="A62" s="2" t="s">
        <v>128</v>
      </c>
      <c r="B62" s="2" t="s">
        <v>134</v>
      </c>
      <c r="C62" s="10" t="s">
        <v>344</v>
      </c>
      <c r="D62" s="10">
        <v>0</v>
      </c>
      <c r="E62" s="3" t="s">
        <v>59</v>
      </c>
      <c r="F62" s="8" t="s">
        <v>23</v>
      </c>
      <c r="G62" s="5" t="s">
        <v>9</v>
      </c>
    </row>
    <row r="63" spans="1:7" ht="18" x14ac:dyDescent="0.2">
      <c r="A63" s="2" t="s">
        <v>135</v>
      </c>
      <c r="B63" s="2" t="s">
        <v>136</v>
      </c>
      <c r="C63" s="10" t="s">
        <v>345</v>
      </c>
      <c r="D63" s="10">
        <f t="shared" si="0"/>
        <v>10</v>
      </c>
      <c r="E63" s="3" t="s">
        <v>35</v>
      </c>
      <c r="F63" s="4" t="s">
        <v>8</v>
      </c>
      <c r="G63" s="5" t="s">
        <v>9</v>
      </c>
    </row>
    <row r="64" spans="1:7" ht="18" x14ac:dyDescent="0.2">
      <c r="A64" s="2" t="s">
        <v>135</v>
      </c>
      <c r="B64" s="2" t="s">
        <v>137</v>
      </c>
      <c r="C64" s="10" t="s">
        <v>346</v>
      </c>
      <c r="D64" s="10">
        <f t="shared" si="0"/>
        <v>27.139999999999997</v>
      </c>
      <c r="E64" s="3" t="s">
        <v>12</v>
      </c>
      <c r="F64" s="4" t="s">
        <v>8</v>
      </c>
      <c r="G64" s="5" t="s">
        <v>9</v>
      </c>
    </row>
    <row r="65" spans="1:8" ht="18" x14ac:dyDescent="0.2">
      <c r="A65" s="2" t="s">
        <v>138</v>
      </c>
      <c r="B65" s="2" t="s">
        <v>139</v>
      </c>
      <c r="C65" s="10" t="s">
        <v>347</v>
      </c>
      <c r="D65" s="10">
        <f t="shared" si="0"/>
        <v>0.08</v>
      </c>
      <c r="E65" s="3" t="s">
        <v>59</v>
      </c>
      <c r="F65" s="6" t="s">
        <v>16</v>
      </c>
      <c r="G65" s="5" t="s">
        <v>9</v>
      </c>
    </row>
    <row r="66" spans="1:8" ht="18" x14ac:dyDescent="0.2">
      <c r="A66" s="2" t="s">
        <v>140</v>
      </c>
      <c r="B66" s="2" t="s">
        <v>141</v>
      </c>
      <c r="C66" s="10" t="s">
        <v>348</v>
      </c>
      <c r="D66" s="10">
        <f t="shared" si="0"/>
        <v>1.35</v>
      </c>
      <c r="E66" s="3" t="s">
        <v>46</v>
      </c>
      <c r="F66" s="6" t="s">
        <v>16</v>
      </c>
      <c r="G66" s="5" t="s">
        <v>9</v>
      </c>
    </row>
    <row r="67" spans="1:8" ht="18" x14ac:dyDescent="0.2">
      <c r="A67" s="2" t="s">
        <v>142</v>
      </c>
      <c r="B67" s="2" t="s">
        <v>143</v>
      </c>
      <c r="C67" s="10" t="s">
        <v>349</v>
      </c>
      <c r="D67" s="10">
        <f t="shared" si="0"/>
        <v>0</v>
      </c>
      <c r="E67" s="3" t="s">
        <v>49</v>
      </c>
      <c r="F67" s="4" t="s">
        <v>8</v>
      </c>
      <c r="G67" s="5" t="s">
        <v>9</v>
      </c>
    </row>
    <row r="68" spans="1:8" ht="18" x14ac:dyDescent="0.2">
      <c r="A68" s="2" t="s">
        <v>144</v>
      </c>
      <c r="B68" s="2" t="s">
        <v>145</v>
      </c>
      <c r="C68" s="10" t="s">
        <v>319</v>
      </c>
      <c r="D68" s="10">
        <f t="shared" si="0"/>
        <v>0</v>
      </c>
      <c r="E68" s="3" t="s">
        <v>29</v>
      </c>
      <c r="F68" s="4" t="s">
        <v>8</v>
      </c>
      <c r="G68" s="5" t="s">
        <v>9</v>
      </c>
    </row>
    <row r="69" spans="1:8" ht="18" x14ac:dyDescent="0.2">
      <c r="A69" s="2" t="s">
        <v>146</v>
      </c>
      <c r="B69" s="2" t="s">
        <v>147</v>
      </c>
      <c r="C69" s="10" t="s">
        <v>319</v>
      </c>
      <c r="D69" s="10">
        <f t="shared" si="0"/>
        <v>0</v>
      </c>
      <c r="E69" s="7" t="s">
        <v>22</v>
      </c>
      <c r="F69" s="8" t="s">
        <v>23</v>
      </c>
      <c r="G69" s="5" t="s">
        <v>9</v>
      </c>
      <c r="H69" t="s">
        <v>365</v>
      </c>
    </row>
    <row r="70" spans="1:8" ht="18" x14ac:dyDescent="0.2">
      <c r="A70" s="2" t="s">
        <v>148</v>
      </c>
      <c r="B70" s="2" t="s">
        <v>149</v>
      </c>
      <c r="C70" s="10" t="s">
        <v>350</v>
      </c>
      <c r="D70" s="10">
        <f t="shared" si="0"/>
        <v>5.25</v>
      </c>
      <c r="E70" s="7" t="s">
        <v>22</v>
      </c>
      <c r="F70" s="4" t="s">
        <v>8</v>
      </c>
      <c r="G70" s="5" t="s">
        <v>9</v>
      </c>
    </row>
    <row r="71" spans="1:8" ht="18" x14ac:dyDescent="0.2">
      <c r="A71" s="2" t="s">
        <v>148</v>
      </c>
      <c r="B71" s="2" t="s">
        <v>150</v>
      </c>
      <c r="C71" s="10" t="s">
        <v>351</v>
      </c>
      <c r="D71" s="10">
        <f t="shared" si="0"/>
        <v>35.880000000000003</v>
      </c>
      <c r="E71" s="7" t="s">
        <v>22</v>
      </c>
      <c r="F71" s="4" t="s">
        <v>8</v>
      </c>
      <c r="G71" s="5" t="s">
        <v>9</v>
      </c>
    </row>
    <row r="72" spans="1:8" ht="18" x14ac:dyDescent="0.2">
      <c r="A72" s="2" t="s">
        <v>148</v>
      </c>
      <c r="B72" s="2" t="s">
        <v>151</v>
      </c>
      <c r="C72" s="10" t="s">
        <v>318</v>
      </c>
      <c r="D72" s="10">
        <f t="shared" si="0"/>
        <v>0</v>
      </c>
      <c r="E72" s="7" t="s">
        <v>22</v>
      </c>
      <c r="F72" s="4" t="s">
        <v>8</v>
      </c>
      <c r="G72" s="5" t="s">
        <v>9</v>
      </c>
    </row>
    <row r="73" spans="1:8" ht="18" x14ac:dyDescent="0.2">
      <c r="A73" s="2" t="s">
        <v>152</v>
      </c>
      <c r="B73" s="2" t="s">
        <v>153</v>
      </c>
      <c r="C73" s="10" t="s">
        <v>352</v>
      </c>
      <c r="D73" s="10">
        <f t="shared" si="0"/>
        <v>47.19</v>
      </c>
      <c r="E73" s="7" t="s">
        <v>22</v>
      </c>
      <c r="F73" s="6" t="s">
        <v>16</v>
      </c>
      <c r="G73" s="5" t="s">
        <v>9</v>
      </c>
    </row>
    <row r="74" spans="1:8" ht="18" x14ac:dyDescent="0.2">
      <c r="A74" s="2" t="s">
        <v>154</v>
      </c>
      <c r="B74" s="2" t="s">
        <v>155</v>
      </c>
      <c r="C74" s="10" t="s">
        <v>353</v>
      </c>
      <c r="D74" s="10">
        <f t="shared" si="0"/>
        <v>1.3</v>
      </c>
      <c r="E74" s="3" t="s">
        <v>59</v>
      </c>
      <c r="F74" s="8" t="s">
        <v>23</v>
      </c>
      <c r="G74" s="5" t="s">
        <v>9</v>
      </c>
    </row>
    <row r="75" spans="1:8" ht="18" x14ac:dyDescent="0.2">
      <c r="A75" s="2" t="s">
        <v>156</v>
      </c>
      <c r="B75" s="2" t="s">
        <v>157</v>
      </c>
      <c r="C75" s="10" t="s">
        <v>354</v>
      </c>
      <c r="D75" s="10">
        <f t="shared" si="0"/>
        <v>0</v>
      </c>
      <c r="E75" s="7" t="s">
        <v>22</v>
      </c>
      <c r="F75" s="8" t="s">
        <v>23</v>
      </c>
      <c r="G75" s="5" t="s">
        <v>9</v>
      </c>
    </row>
    <row r="76" spans="1:8" ht="18" x14ac:dyDescent="0.2">
      <c r="A76" s="2" t="s">
        <v>156</v>
      </c>
      <c r="B76" s="2" t="s">
        <v>158</v>
      </c>
      <c r="C76" s="10" t="s">
        <v>355</v>
      </c>
      <c r="D76" s="10">
        <v>0</v>
      </c>
      <c r="E76" s="7" t="s">
        <v>22</v>
      </c>
      <c r="F76" s="8" t="s">
        <v>23</v>
      </c>
      <c r="G76" s="5" t="s">
        <v>9</v>
      </c>
    </row>
    <row r="77" spans="1:8" ht="18" x14ac:dyDescent="0.2">
      <c r="A77" s="2" t="s">
        <v>159</v>
      </c>
      <c r="B77" s="2" t="s">
        <v>160</v>
      </c>
      <c r="C77" s="10" t="s">
        <v>356</v>
      </c>
      <c r="D77" s="10">
        <v>0</v>
      </c>
      <c r="E77" s="3" t="s">
        <v>12</v>
      </c>
      <c r="F77" s="4" t="s">
        <v>8</v>
      </c>
      <c r="G77" s="5" t="s">
        <v>9</v>
      </c>
    </row>
    <row r="78" spans="1:8" ht="18" x14ac:dyDescent="0.2">
      <c r="A78" s="2" t="s">
        <v>161</v>
      </c>
      <c r="B78" s="2" t="s">
        <v>162</v>
      </c>
      <c r="C78" s="10" t="s">
        <v>357</v>
      </c>
      <c r="D78" s="10">
        <f t="shared" si="0"/>
        <v>34.239999999999995</v>
      </c>
      <c r="E78" s="3" t="s">
        <v>12</v>
      </c>
      <c r="F78" s="4" t="s">
        <v>8</v>
      </c>
      <c r="G78" s="5" t="s">
        <v>9</v>
      </c>
    </row>
    <row r="79" spans="1:8" ht="18" x14ac:dyDescent="0.2">
      <c r="A79" s="2" t="s">
        <v>163</v>
      </c>
      <c r="B79" s="2" t="s">
        <v>164</v>
      </c>
      <c r="C79" s="10" t="s">
        <v>330</v>
      </c>
      <c r="D79" s="10">
        <f t="shared" si="0"/>
        <v>0</v>
      </c>
      <c r="E79" s="3" t="s">
        <v>49</v>
      </c>
      <c r="F79" s="4" t="s">
        <v>8</v>
      </c>
      <c r="G79" s="5" t="s">
        <v>9</v>
      </c>
    </row>
    <row r="80" spans="1:8" ht="18" x14ac:dyDescent="0.2">
      <c r="A80" s="2" t="s">
        <v>165</v>
      </c>
      <c r="B80" s="2" t="s">
        <v>166</v>
      </c>
      <c r="C80" s="10" t="s">
        <v>358</v>
      </c>
      <c r="D80" s="10">
        <v>0</v>
      </c>
      <c r="E80" s="7" t="s">
        <v>22</v>
      </c>
      <c r="F80" s="8" t="s">
        <v>23</v>
      </c>
      <c r="G80" s="5" t="s">
        <v>9</v>
      </c>
    </row>
    <row r="81" spans="1:8" ht="18" x14ac:dyDescent="0.2">
      <c r="A81" s="2" t="s">
        <v>167</v>
      </c>
      <c r="B81" s="2" t="s">
        <v>168</v>
      </c>
      <c r="C81" s="10" t="s">
        <v>359</v>
      </c>
      <c r="D81" s="10">
        <f t="shared" ref="D80:D143" si="1">VALUE(_xlfn.TEXTAFTER(C81,"="))*100</f>
        <v>24.5</v>
      </c>
      <c r="E81" s="7" t="s">
        <v>22</v>
      </c>
      <c r="F81" s="6" t="s">
        <v>16</v>
      </c>
      <c r="G81" s="5" t="s">
        <v>9</v>
      </c>
    </row>
    <row r="82" spans="1:8" ht="18" x14ac:dyDescent="0.2">
      <c r="A82" s="2" t="s">
        <v>169</v>
      </c>
      <c r="B82" s="2" t="s">
        <v>170</v>
      </c>
      <c r="C82" s="10" t="s">
        <v>360</v>
      </c>
      <c r="D82" s="10">
        <f t="shared" si="1"/>
        <v>10.489999999999998</v>
      </c>
      <c r="E82" s="7" t="s">
        <v>22</v>
      </c>
      <c r="F82" s="6" t="s">
        <v>16</v>
      </c>
      <c r="G82" s="5" t="s">
        <v>9</v>
      </c>
    </row>
    <row r="83" spans="1:8" ht="18" x14ac:dyDescent="0.2">
      <c r="A83" s="2" t="s">
        <v>171</v>
      </c>
      <c r="B83" s="9" t="s">
        <v>172</v>
      </c>
      <c r="C83" s="13"/>
      <c r="D83" s="10" t="e">
        <f t="shared" si="1"/>
        <v>#N/A</v>
      </c>
      <c r="E83" s="3" t="s">
        <v>96</v>
      </c>
      <c r="F83" s="8" t="s">
        <v>23</v>
      </c>
      <c r="G83" s="5" t="s">
        <v>9</v>
      </c>
    </row>
    <row r="84" spans="1:8" ht="18" x14ac:dyDescent="0.2">
      <c r="A84" s="2" t="s">
        <v>171</v>
      </c>
      <c r="B84" s="9" t="s">
        <v>173</v>
      </c>
      <c r="C84" s="11"/>
      <c r="D84" s="10" t="e">
        <f t="shared" si="1"/>
        <v>#N/A</v>
      </c>
      <c r="E84" s="3" t="s">
        <v>96</v>
      </c>
      <c r="F84" s="6" t="s">
        <v>16</v>
      </c>
      <c r="G84" s="5" t="s">
        <v>9</v>
      </c>
    </row>
    <row r="85" spans="1:8" ht="18" x14ac:dyDescent="0.2">
      <c r="A85" s="2" t="s">
        <v>174</v>
      </c>
      <c r="B85" s="9" t="s">
        <v>175</v>
      </c>
      <c r="C85" s="11"/>
      <c r="D85" s="10" t="e">
        <f t="shared" si="1"/>
        <v>#N/A</v>
      </c>
      <c r="E85" s="3" t="s">
        <v>59</v>
      </c>
      <c r="F85" s="6" t="s">
        <v>16</v>
      </c>
      <c r="G85" s="5" t="s">
        <v>9</v>
      </c>
      <c r="H85" t="s">
        <v>364</v>
      </c>
    </row>
    <row r="86" spans="1:8" ht="18" x14ac:dyDescent="0.2">
      <c r="A86" s="2" t="s">
        <v>174</v>
      </c>
      <c r="B86" s="9" t="s">
        <v>176</v>
      </c>
      <c r="C86" s="11"/>
      <c r="D86" s="10" t="e">
        <f t="shared" si="1"/>
        <v>#N/A</v>
      </c>
      <c r="E86" s="3" t="s">
        <v>177</v>
      </c>
      <c r="F86" s="6" t="s">
        <v>16</v>
      </c>
      <c r="G86" s="5" t="s">
        <v>9</v>
      </c>
    </row>
    <row r="87" spans="1:8" ht="18" x14ac:dyDescent="0.2">
      <c r="A87" s="2" t="s">
        <v>174</v>
      </c>
      <c r="B87" s="9" t="s">
        <v>178</v>
      </c>
      <c r="C87" s="11"/>
      <c r="D87" s="10" t="e">
        <f t="shared" si="1"/>
        <v>#N/A</v>
      </c>
      <c r="E87" s="3" t="s">
        <v>179</v>
      </c>
      <c r="F87" s="8" t="s">
        <v>23</v>
      </c>
      <c r="G87" s="5" t="s">
        <v>9</v>
      </c>
    </row>
    <row r="88" spans="1:8" ht="18" x14ac:dyDescent="0.2">
      <c r="A88" s="2" t="s">
        <v>174</v>
      </c>
      <c r="B88" s="9" t="s">
        <v>180</v>
      </c>
      <c r="C88" s="11"/>
      <c r="D88" s="10" t="e">
        <f t="shared" si="1"/>
        <v>#N/A</v>
      </c>
      <c r="E88" s="3" t="s">
        <v>59</v>
      </c>
      <c r="F88" s="4" t="s">
        <v>8</v>
      </c>
      <c r="G88" s="5" t="s">
        <v>9</v>
      </c>
    </row>
    <row r="89" spans="1:8" ht="18" x14ac:dyDescent="0.2">
      <c r="A89" s="2" t="s">
        <v>174</v>
      </c>
      <c r="B89" s="9" t="s">
        <v>181</v>
      </c>
      <c r="C89" s="11"/>
      <c r="D89" s="10" t="e">
        <f t="shared" si="1"/>
        <v>#N/A</v>
      </c>
      <c r="E89" s="3" t="s">
        <v>59</v>
      </c>
      <c r="F89" s="4" t="s">
        <v>8</v>
      </c>
      <c r="G89" s="5" t="s">
        <v>9</v>
      </c>
    </row>
    <row r="90" spans="1:8" ht="18" x14ac:dyDescent="0.2">
      <c r="A90" s="2" t="s">
        <v>174</v>
      </c>
      <c r="B90" s="9" t="s">
        <v>182</v>
      </c>
      <c r="C90" s="11"/>
      <c r="D90" s="10" t="e">
        <f t="shared" si="1"/>
        <v>#N/A</v>
      </c>
      <c r="E90" s="3" t="s">
        <v>59</v>
      </c>
      <c r="F90" s="6" t="s">
        <v>16</v>
      </c>
      <c r="G90" s="5" t="s">
        <v>9</v>
      </c>
    </row>
    <row r="91" spans="1:8" ht="18" x14ac:dyDescent="0.2">
      <c r="A91" s="2" t="s">
        <v>174</v>
      </c>
      <c r="B91" s="9" t="s">
        <v>183</v>
      </c>
      <c r="C91" s="11"/>
      <c r="D91" s="10" t="e">
        <f t="shared" si="1"/>
        <v>#N/A</v>
      </c>
      <c r="E91" s="3" t="s">
        <v>184</v>
      </c>
      <c r="F91" s="8" t="s">
        <v>23</v>
      </c>
      <c r="G91" s="5" t="s">
        <v>9</v>
      </c>
    </row>
    <row r="92" spans="1:8" ht="18" x14ac:dyDescent="0.2">
      <c r="A92" s="2" t="s">
        <v>174</v>
      </c>
      <c r="B92" s="9" t="s">
        <v>185</v>
      </c>
      <c r="C92" s="11"/>
      <c r="D92" s="10" t="e">
        <f t="shared" si="1"/>
        <v>#N/A</v>
      </c>
      <c r="E92" s="3" t="s">
        <v>186</v>
      </c>
      <c r="F92" s="8" t="s">
        <v>23</v>
      </c>
      <c r="G92" s="5" t="s">
        <v>9</v>
      </c>
    </row>
    <row r="93" spans="1:8" ht="18" x14ac:dyDescent="0.2">
      <c r="A93" s="2" t="s">
        <v>187</v>
      </c>
      <c r="B93" s="2" t="s">
        <v>188</v>
      </c>
      <c r="C93" s="10" t="s">
        <v>361</v>
      </c>
      <c r="D93" s="10">
        <f t="shared" si="1"/>
        <v>20.8</v>
      </c>
      <c r="E93" s="3" t="s">
        <v>49</v>
      </c>
      <c r="F93" s="6" t="s">
        <v>16</v>
      </c>
      <c r="G93" s="5" t="s">
        <v>9</v>
      </c>
    </row>
    <row r="94" spans="1:8" ht="18" x14ac:dyDescent="0.2">
      <c r="A94" s="2" t="s">
        <v>189</v>
      </c>
      <c r="B94" s="2" t="s">
        <v>190</v>
      </c>
      <c r="C94" s="11" t="s">
        <v>362</v>
      </c>
      <c r="D94" s="10">
        <v>0</v>
      </c>
      <c r="E94" s="3" t="s">
        <v>106</v>
      </c>
      <c r="F94" s="4" t="s">
        <v>8</v>
      </c>
      <c r="G94" s="5" t="s">
        <v>9</v>
      </c>
    </row>
    <row r="95" spans="1:8" ht="18" x14ac:dyDescent="0.2">
      <c r="A95" s="2" t="s">
        <v>191</v>
      </c>
      <c r="B95" s="9" t="s">
        <v>192</v>
      </c>
      <c r="C95" s="11"/>
      <c r="D95" s="10" t="e">
        <f t="shared" si="1"/>
        <v>#N/A</v>
      </c>
      <c r="E95" s="3" t="s">
        <v>96</v>
      </c>
      <c r="F95" s="4" t="s">
        <v>8</v>
      </c>
      <c r="G95" s="5" t="s">
        <v>9</v>
      </c>
    </row>
    <row r="96" spans="1:8" ht="18" x14ac:dyDescent="0.2">
      <c r="A96" s="2" t="s">
        <v>191</v>
      </c>
      <c r="B96" s="9" t="s">
        <v>193</v>
      </c>
      <c r="C96" s="11"/>
      <c r="D96" s="10" t="e">
        <f t="shared" si="1"/>
        <v>#N/A</v>
      </c>
      <c r="E96" s="3" t="s">
        <v>194</v>
      </c>
      <c r="F96" s="6" t="s">
        <v>16</v>
      </c>
      <c r="G96" s="5" t="s">
        <v>9</v>
      </c>
    </row>
    <row r="97" spans="1:7" ht="18" x14ac:dyDescent="0.2">
      <c r="A97" s="2" t="s">
        <v>191</v>
      </c>
      <c r="B97" s="9" t="s">
        <v>195</v>
      </c>
      <c r="C97" s="11"/>
      <c r="D97" s="10" t="e">
        <f t="shared" si="1"/>
        <v>#N/A</v>
      </c>
      <c r="E97" s="3" t="s">
        <v>196</v>
      </c>
      <c r="F97" s="4" t="s">
        <v>8</v>
      </c>
      <c r="G97" s="5" t="s">
        <v>9</v>
      </c>
    </row>
    <row r="98" spans="1:7" ht="18" x14ac:dyDescent="0.2">
      <c r="A98" s="2" t="s">
        <v>197</v>
      </c>
      <c r="B98" s="2" t="s">
        <v>198</v>
      </c>
      <c r="C98" s="11" t="s">
        <v>354</v>
      </c>
      <c r="D98" s="10">
        <f t="shared" si="1"/>
        <v>0</v>
      </c>
      <c r="E98" s="3" t="s">
        <v>35</v>
      </c>
      <c r="F98" s="4" t="s">
        <v>8</v>
      </c>
      <c r="G98" s="5" t="s">
        <v>9</v>
      </c>
    </row>
    <row r="99" spans="1:7" ht="18" x14ac:dyDescent="0.2">
      <c r="A99" s="2" t="s">
        <v>199</v>
      </c>
      <c r="B99" s="2" t="s">
        <v>200</v>
      </c>
      <c r="C99" s="10" t="s">
        <v>333</v>
      </c>
      <c r="D99" s="10">
        <f t="shared" si="1"/>
        <v>0</v>
      </c>
      <c r="E99" s="3" t="s">
        <v>49</v>
      </c>
      <c r="F99" s="8" t="s">
        <v>23</v>
      </c>
      <c r="G99" s="5" t="s">
        <v>9</v>
      </c>
    </row>
    <row r="100" spans="1:7" ht="18" x14ac:dyDescent="0.2">
      <c r="A100" s="2" t="s">
        <v>199</v>
      </c>
      <c r="B100" s="2" t="s">
        <v>201</v>
      </c>
      <c r="C100" s="10" t="s">
        <v>366</v>
      </c>
      <c r="D100" s="10">
        <f t="shared" si="1"/>
        <v>16.54</v>
      </c>
      <c r="E100" s="3" t="s">
        <v>29</v>
      </c>
      <c r="F100" s="8" t="s">
        <v>23</v>
      </c>
      <c r="G100" s="5" t="s">
        <v>9</v>
      </c>
    </row>
    <row r="101" spans="1:7" ht="18" x14ac:dyDescent="0.2">
      <c r="A101" s="2" t="s">
        <v>202</v>
      </c>
      <c r="B101" s="2" t="s">
        <v>203</v>
      </c>
      <c r="C101" s="10" t="s">
        <v>295</v>
      </c>
      <c r="D101" s="10">
        <f t="shared" si="1"/>
        <v>0</v>
      </c>
      <c r="E101" s="3" t="s">
        <v>204</v>
      </c>
      <c r="F101" s="4" t="s">
        <v>8</v>
      </c>
      <c r="G101" s="5" t="s">
        <v>9</v>
      </c>
    </row>
    <row r="102" spans="1:7" ht="18" x14ac:dyDescent="0.2">
      <c r="A102" s="2" t="s">
        <v>205</v>
      </c>
      <c r="B102" s="2" t="s">
        <v>206</v>
      </c>
      <c r="C102" s="10" t="s">
        <v>367</v>
      </c>
      <c r="D102" s="10">
        <f t="shared" si="1"/>
        <v>90.36999999999999</v>
      </c>
      <c r="E102" s="3" t="s">
        <v>110</v>
      </c>
      <c r="F102" s="4" t="s">
        <v>8</v>
      </c>
      <c r="G102" s="5" t="s">
        <v>9</v>
      </c>
    </row>
    <row r="103" spans="1:7" ht="18" x14ac:dyDescent="0.2">
      <c r="A103" s="2" t="s">
        <v>207</v>
      </c>
      <c r="B103" s="2" t="s">
        <v>208</v>
      </c>
      <c r="C103" s="10" t="s">
        <v>330</v>
      </c>
      <c r="D103" s="10">
        <f t="shared" si="1"/>
        <v>0</v>
      </c>
      <c r="E103" s="3" t="s">
        <v>106</v>
      </c>
      <c r="F103" s="6" t="s">
        <v>16</v>
      </c>
      <c r="G103" s="5" t="s">
        <v>9</v>
      </c>
    </row>
    <row r="104" spans="1:7" ht="18" x14ac:dyDescent="0.2">
      <c r="A104" s="2" t="s">
        <v>207</v>
      </c>
      <c r="B104" s="2" t="s">
        <v>209</v>
      </c>
      <c r="C104" s="10" t="s">
        <v>368</v>
      </c>
      <c r="D104" s="10">
        <f t="shared" si="1"/>
        <v>3.5999999999999996</v>
      </c>
      <c r="E104" s="3" t="s">
        <v>110</v>
      </c>
      <c r="F104" s="6" t="s">
        <v>16</v>
      </c>
      <c r="G104" s="5" t="s">
        <v>9</v>
      </c>
    </row>
    <row r="105" spans="1:7" ht="18" x14ac:dyDescent="0.2">
      <c r="A105" s="2" t="s">
        <v>210</v>
      </c>
      <c r="B105" s="2" t="s">
        <v>211</v>
      </c>
      <c r="C105" s="10" t="s">
        <v>369</v>
      </c>
      <c r="D105" s="10">
        <f t="shared" si="1"/>
        <v>37.330000000000005</v>
      </c>
      <c r="E105" s="3" t="s">
        <v>72</v>
      </c>
      <c r="F105" s="8" t="s">
        <v>23</v>
      </c>
      <c r="G105" s="5" t="s">
        <v>9</v>
      </c>
    </row>
    <row r="106" spans="1:7" ht="18" x14ac:dyDescent="0.2">
      <c r="A106" s="2" t="s">
        <v>210</v>
      </c>
      <c r="B106" s="2" t="s">
        <v>212</v>
      </c>
      <c r="C106" s="10" t="s">
        <v>330</v>
      </c>
      <c r="D106" s="10">
        <f t="shared" si="1"/>
        <v>0</v>
      </c>
      <c r="E106" s="3" t="s">
        <v>12</v>
      </c>
      <c r="F106" s="8" t="s">
        <v>23</v>
      </c>
      <c r="G106" s="5" t="s">
        <v>9</v>
      </c>
    </row>
    <row r="107" spans="1:7" ht="18" x14ac:dyDescent="0.2">
      <c r="A107" s="2" t="s">
        <v>213</v>
      </c>
      <c r="B107" s="2" t="s">
        <v>214</v>
      </c>
      <c r="C107" s="10" t="s">
        <v>370</v>
      </c>
      <c r="D107" s="10">
        <f t="shared" si="1"/>
        <v>36.299999999999997</v>
      </c>
      <c r="E107" s="7" t="s">
        <v>22</v>
      </c>
      <c r="F107" s="4" t="s">
        <v>8</v>
      </c>
      <c r="G107" s="5" t="s">
        <v>9</v>
      </c>
    </row>
    <row r="108" spans="1:7" ht="18" x14ac:dyDescent="0.2">
      <c r="A108" s="2" t="s">
        <v>215</v>
      </c>
      <c r="B108" s="2" t="s">
        <v>216</v>
      </c>
      <c r="C108" s="10" t="s">
        <v>371</v>
      </c>
      <c r="D108" s="10" t="e">
        <f t="shared" si="1"/>
        <v>#VALUE!</v>
      </c>
      <c r="E108" s="3" t="s">
        <v>41</v>
      </c>
      <c r="F108" s="4" t="s">
        <v>8</v>
      </c>
      <c r="G108" s="5" t="s">
        <v>9</v>
      </c>
    </row>
    <row r="109" spans="1:7" ht="18" x14ac:dyDescent="0.2">
      <c r="A109" s="2" t="s">
        <v>217</v>
      </c>
      <c r="B109" s="2" t="s">
        <v>218</v>
      </c>
      <c r="C109" s="10" t="s">
        <v>372</v>
      </c>
      <c r="D109" s="10">
        <f t="shared" si="1"/>
        <v>0.27</v>
      </c>
      <c r="E109" s="7" t="s">
        <v>22</v>
      </c>
      <c r="F109" s="8" t="s">
        <v>23</v>
      </c>
      <c r="G109" s="5" t="s">
        <v>9</v>
      </c>
    </row>
    <row r="110" spans="1:7" ht="18" x14ac:dyDescent="0.2">
      <c r="A110" s="2" t="s">
        <v>219</v>
      </c>
      <c r="B110" s="2" t="s">
        <v>220</v>
      </c>
      <c r="C110" s="10" t="s">
        <v>373</v>
      </c>
      <c r="D110" s="10">
        <f t="shared" si="1"/>
        <v>41.27</v>
      </c>
      <c r="E110" s="3" t="s">
        <v>49</v>
      </c>
      <c r="F110" s="8" t="s">
        <v>23</v>
      </c>
      <c r="G110" s="5" t="s">
        <v>9</v>
      </c>
    </row>
    <row r="111" spans="1:7" ht="18" x14ac:dyDescent="0.2">
      <c r="A111" s="2" t="s">
        <v>219</v>
      </c>
      <c r="B111" s="2" t="s">
        <v>221</v>
      </c>
      <c r="C111" s="10" t="s">
        <v>374</v>
      </c>
      <c r="D111" s="10">
        <f t="shared" si="1"/>
        <v>16.12</v>
      </c>
      <c r="E111" s="3" t="s">
        <v>222</v>
      </c>
      <c r="F111" s="8" t="s">
        <v>23</v>
      </c>
      <c r="G111" s="5" t="s">
        <v>9</v>
      </c>
    </row>
    <row r="112" spans="1:7" ht="18" x14ac:dyDescent="0.2">
      <c r="A112" s="2" t="s">
        <v>223</v>
      </c>
      <c r="B112" s="2" t="s">
        <v>224</v>
      </c>
      <c r="C112" s="10" t="s">
        <v>375</v>
      </c>
      <c r="D112" s="10">
        <f t="shared" si="1"/>
        <v>30.56</v>
      </c>
      <c r="E112" s="7" t="s">
        <v>22</v>
      </c>
      <c r="F112" s="8" t="s">
        <v>23</v>
      </c>
      <c r="G112" s="5" t="s">
        <v>9</v>
      </c>
    </row>
    <row r="113" spans="1:7" ht="18" x14ac:dyDescent="0.2">
      <c r="A113" s="2" t="s">
        <v>225</v>
      </c>
      <c r="B113" s="2" t="s">
        <v>226</v>
      </c>
      <c r="C113" s="10" t="s">
        <v>376</v>
      </c>
      <c r="D113" s="10">
        <f t="shared" si="1"/>
        <v>46.48</v>
      </c>
      <c r="E113" s="7" t="s">
        <v>22</v>
      </c>
      <c r="F113" s="8" t="s">
        <v>23</v>
      </c>
      <c r="G113" s="5" t="s">
        <v>9</v>
      </c>
    </row>
    <row r="114" spans="1:7" ht="18" x14ac:dyDescent="0.2">
      <c r="A114" s="2" t="s">
        <v>227</v>
      </c>
      <c r="B114" s="2" t="s">
        <v>228</v>
      </c>
      <c r="C114" s="10" t="s">
        <v>377</v>
      </c>
      <c r="D114" s="10">
        <f t="shared" si="1"/>
        <v>0</v>
      </c>
      <c r="E114" s="3" t="s">
        <v>41</v>
      </c>
      <c r="F114" s="6" t="s">
        <v>16</v>
      </c>
      <c r="G114" s="5" t="s">
        <v>9</v>
      </c>
    </row>
    <row r="115" spans="1:7" ht="18" x14ac:dyDescent="0.2">
      <c r="A115" s="2" t="s">
        <v>227</v>
      </c>
      <c r="B115" s="2" t="s">
        <v>229</v>
      </c>
      <c r="C115" s="10" t="s">
        <v>378</v>
      </c>
      <c r="D115" s="10">
        <f t="shared" si="1"/>
        <v>6.8000000000000007</v>
      </c>
      <c r="E115" s="7" t="s">
        <v>22</v>
      </c>
      <c r="F115" s="6" t="s">
        <v>16</v>
      </c>
      <c r="G115" s="5" t="s">
        <v>9</v>
      </c>
    </row>
    <row r="116" spans="1:7" ht="18" x14ac:dyDescent="0.2">
      <c r="A116" s="2" t="s">
        <v>227</v>
      </c>
      <c r="B116" s="2" t="s">
        <v>230</v>
      </c>
      <c r="C116" s="10" t="s">
        <v>379</v>
      </c>
      <c r="D116" s="10" t="e">
        <f t="shared" si="1"/>
        <v>#VALUE!</v>
      </c>
      <c r="E116" s="3" t="s">
        <v>49</v>
      </c>
      <c r="F116" s="6" t="s">
        <v>16</v>
      </c>
      <c r="G116" s="5" t="s">
        <v>9</v>
      </c>
    </row>
    <row r="117" spans="1:7" ht="18" x14ac:dyDescent="0.2">
      <c r="A117" s="2" t="s">
        <v>231</v>
      </c>
      <c r="B117" s="2" t="s">
        <v>232</v>
      </c>
      <c r="C117" s="10" t="s">
        <v>380</v>
      </c>
      <c r="D117" s="10">
        <f t="shared" si="1"/>
        <v>20.34</v>
      </c>
      <c r="E117" s="3" t="s">
        <v>49</v>
      </c>
      <c r="F117" s="4" t="s">
        <v>8</v>
      </c>
      <c r="G117" s="5" t="s">
        <v>9</v>
      </c>
    </row>
    <row r="118" spans="1:7" ht="18" x14ac:dyDescent="0.2">
      <c r="A118" s="2" t="s">
        <v>233</v>
      </c>
      <c r="B118" s="2" t="s">
        <v>234</v>
      </c>
      <c r="C118" s="10" t="s">
        <v>303</v>
      </c>
      <c r="D118" s="10">
        <f t="shared" si="1"/>
        <v>17.599999999999998</v>
      </c>
      <c r="E118" s="3" t="s">
        <v>12</v>
      </c>
      <c r="F118" s="4" t="s">
        <v>8</v>
      </c>
      <c r="G118" s="5" t="s">
        <v>9</v>
      </c>
    </row>
    <row r="119" spans="1:7" ht="18" x14ac:dyDescent="0.2">
      <c r="A119" s="2" t="s">
        <v>235</v>
      </c>
      <c r="B119" s="2" t="s">
        <v>236</v>
      </c>
      <c r="C119" s="10" t="s">
        <v>381</v>
      </c>
      <c r="D119" s="10">
        <f t="shared" si="1"/>
        <v>16.7</v>
      </c>
      <c r="E119" s="3" t="s">
        <v>72</v>
      </c>
      <c r="F119" s="4" t="s">
        <v>8</v>
      </c>
      <c r="G119" s="5" t="s">
        <v>9</v>
      </c>
    </row>
    <row r="120" spans="1:7" ht="18" x14ac:dyDescent="0.2">
      <c r="A120" s="2" t="s">
        <v>237</v>
      </c>
      <c r="B120" s="2" t="s">
        <v>238</v>
      </c>
      <c r="C120" s="10" t="s">
        <v>382</v>
      </c>
      <c r="D120" s="10">
        <f t="shared" si="1"/>
        <v>5.24</v>
      </c>
      <c r="E120" s="3" t="s">
        <v>239</v>
      </c>
      <c r="F120" s="8" t="s">
        <v>23</v>
      </c>
      <c r="G120" s="5" t="s">
        <v>9</v>
      </c>
    </row>
    <row r="121" spans="1:7" ht="18" x14ac:dyDescent="0.2">
      <c r="A121" s="2" t="s">
        <v>240</v>
      </c>
      <c r="B121" s="2" t="s">
        <v>241</v>
      </c>
      <c r="C121" s="10" t="s">
        <v>383</v>
      </c>
      <c r="D121" s="10">
        <f t="shared" si="1"/>
        <v>33.64</v>
      </c>
      <c r="E121" s="3" t="s">
        <v>72</v>
      </c>
      <c r="F121" s="6" t="s">
        <v>16</v>
      </c>
      <c r="G121" s="5" t="s">
        <v>9</v>
      </c>
    </row>
    <row r="122" spans="1:7" ht="18" x14ac:dyDescent="0.2">
      <c r="A122" s="2" t="s">
        <v>242</v>
      </c>
      <c r="B122" s="2" t="s">
        <v>243</v>
      </c>
      <c r="C122" s="10" t="s">
        <v>384</v>
      </c>
      <c r="D122" s="10">
        <f t="shared" si="1"/>
        <v>1.1499999999999999</v>
      </c>
      <c r="E122" s="3" t="s">
        <v>110</v>
      </c>
      <c r="F122" s="4" t="s">
        <v>8</v>
      </c>
      <c r="G122" s="5" t="s">
        <v>9</v>
      </c>
    </row>
    <row r="123" spans="1:7" ht="18" x14ac:dyDescent="0.2">
      <c r="A123" s="2" t="s">
        <v>244</v>
      </c>
      <c r="B123" s="2" t="s">
        <v>245</v>
      </c>
      <c r="C123" s="10" t="s">
        <v>385</v>
      </c>
      <c r="D123" s="10">
        <f t="shared" si="1"/>
        <v>16.78</v>
      </c>
      <c r="E123" s="3" t="s">
        <v>110</v>
      </c>
      <c r="F123" s="4" t="s">
        <v>8</v>
      </c>
      <c r="G123" s="5" t="s">
        <v>9</v>
      </c>
    </row>
    <row r="124" spans="1:7" ht="18" x14ac:dyDescent="0.2">
      <c r="A124" s="2" t="s">
        <v>246</v>
      </c>
      <c r="B124" s="2" t="s">
        <v>247</v>
      </c>
      <c r="C124" s="10" t="s">
        <v>319</v>
      </c>
      <c r="D124" s="10">
        <f t="shared" si="1"/>
        <v>0</v>
      </c>
      <c r="E124" s="7" t="s">
        <v>22</v>
      </c>
      <c r="F124" s="8" t="s">
        <v>23</v>
      </c>
      <c r="G124" s="5" t="s">
        <v>9</v>
      </c>
    </row>
    <row r="125" spans="1:7" ht="18" x14ac:dyDescent="0.2">
      <c r="A125" s="2" t="s">
        <v>246</v>
      </c>
      <c r="B125" s="2" t="s">
        <v>248</v>
      </c>
      <c r="C125" s="10" t="s">
        <v>371</v>
      </c>
      <c r="D125" s="10">
        <v>0</v>
      </c>
      <c r="E125" s="7" t="s">
        <v>22</v>
      </c>
      <c r="F125" s="8" t="s">
        <v>23</v>
      </c>
      <c r="G125" s="5" t="s">
        <v>9</v>
      </c>
    </row>
    <row r="126" spans="1:7" ht="18" x14ac:dyDescent="0.2">
      <c r="A126" s="2" t="s">
        <v>249</v>
      </c>
      <c r="B126" s="2" t="s">
        <v>250</v>
      </c>
      <c r="C126" s="10" t="s">
        <v>386</v>
      </c>
      <c r="D126" s="10">
        <f t="shared" si="1"/>
        <v>2.5299999999999998</v>
      </c>
      <c r="E126" s="3" t="s">
        <v>76</v>
      </c>
      <c r="F126" s="4" t="s">
        <v>8</v>
      </c>
      <c r="G126" s="5" t="s">
        <v>9</v>
      </c>
    </row>
    <row r="127" spans="1:7" ht="18" x14ac:dyDescent="0.2">
      <c r="A127" s="2" t="s">
        <v>249</v>
      </c>
      <c r="B127" s="2" t="s">
        <v>251</v>
      </c>
      <c r="C127" s="10" t="s">
        <v>387</v>
      </c>
      <c r="D127" s="10">
        <f t="shared" si="1"/>
        <v>9</v>
      </c>
      <c r="E127" s="3" t="s">
        <v>35</v>
      </c>
      <c r="F127" s="4" t="s">
        <v>8</v>
      </c>
      <c r="G127" s="5" t="s">
        <v>9</v>
      </c>
    </row>
    <row r="128" spans="1:7" ht="18" x14ac:dyDescent="0.2">
      <c r="A128" s="2" t="s">
        <v>252</v>
      </c>
      <c r="B128" s="2" t="s">
        <v>253</v>
      </c>
      <c r="C128" s="10" t="s">
        <v>388</v>
      </c>
      <c r="D128" s="10">
        <f t="shared" si="1"/>
        <v>12.1</v>
      </c>
      <c r="E128" s="3" t="s">
        <v>110</v>
      </c>
      <c r="F128" s="6" t="s">
        <v>16</v>
      </c>
      <c r="G128" s="5" t="s">
        <v>9</v>
      </c>
    </row>
    <row r="129" spans="1:8" ht="18" x14ac:dyDescent="0.2">
      <c r="A129" s="2" t="s">
        <v>254</v>
      </c>
      <c r="B129" s="2" t="s">
        <v>255</v>
      </c>
      <c r="C129" s="10" t="s">
        <v>389</v>
      </c>
      <c r="D129" s="10">
        <f t="shared" si="1"/>
        <v>49.32</v>
      </c>
      <c r="E129" s="3" t="s">
        <v>12</v>
      </c>
      <c r="F129" s="4" t="s">
        <v>8</v>
      </c>
      <c r="G129" s="5" t="s">
        <v>9</v>
      </c>
    </row>
    <row r="130" spans="1:8" ht="18" x14ac:dyDescent="0.2">
      <c r="A130" s="2" t="s">
        <v>256</v>
      </c>
      <c r="B130" s="2" t="s">
        <v>257</v>
      </c>
      <c r="C130" s="10" t="s">
        <v>390</v>
      </c>
      <c r="D130" s="10">
        <f t="shared" si="1"/>
        <v>8.27</v>
      </c>
      <c r="E130" s="3" t="s">
        <v>258</v>
      </c>
      <c r="F130" s="8" t="s">
        <v>23</v>
      </c>
      <c r="G130" s="5" t="s">
        <v>9</v>
      </c>
    </row>
    <row r="131" spans="1:8" ht="18" x14ac:dyDescent="0.2">
      <c r="A131" s="2" t="s">
        <v>256</v>
      </c>
      <c r="B131" s="2" t="s">
        <v>259</v>
      </c>
      <c r="C131" s="10" t="s">
        <v>391</v>
      </c>
      <c r="D131" s="10">
        <f t="shared" si="1"/>
        <v>4.6500000000000004</v>
      </c>
      <c r="E131" s="3" t="s">
        <v>258</v>
      </c>
      <c r="F131" s="8" t="s">
        <v>23</v>
      </c>
      <c r="G131" s="5" t="s">
        <v>9</v>
      </c>
    </row>
    <row r="132" spans="1:8" ht="18" x14ac:dyDescent="0.2">
      <c r="A132" s="2" t="s">
        <v>260</v>
      </c>
      <c r="B132" s="2" t="s">
        <v>261</v>
      </c>
      <c r="C132" s="10" t="s">
        <v>392</v>
      </c>
      <c r="D132" s="10">
        <f t="shared" si="1"/>
        <v>16</v>
      </c>
      <c r="E132" s="7" t="s">
        <v>22</v>
      </c>
      <c r="F132" s="4" t="s">
        <v>8</v>
      </c>
      <c r="G132" s="5" t="s">
        <v>9</v>
      </c>
    </row>
    <row r="133" spans="1:8" ht="18" x14ac:dyDescent="0.2">
      <c r="A133" s="2" t="s">
        <v>262</v>
      </c>
      <c r="B133" s="2" t="s">
        <v>263</v>
      </c>
      <c r="C133" s="10" t="s">
        <v>326</v>
      </c>
      <c r="D133" s="10">
        <f t="shared" si="1"/>
        <v>0</v>
      </c>
      <c r="E133" s="3" t="s">
        <v>264</v>
      </c>
      <c r="F133" s="4" t="s">
        <v>8</v>
      </c>
      <c r="G133" s="5" t="s">
        <v>265</v>
      </c>
    </row>
    <row r="134" spans="1:8" ht="18" x14ac:dyDescent="0.2">
      <c r="A134" s="2" t="s">
        <v>266</v>
      </c>
      <c r="B134" s="2" t="s">
        <v>267</v>
      </c>
      <c r="C134" s="10" t="s">
        <v>393</v>
      </c>
      <c r="D134" s="10">
        <f t="shared" si="1"/>
        <v>7.82</v>
      </c>
      <c r="E134" s="3" t="s">
        <v>110</v>
      </c>
      <c r="F134" s="4" t="s">
        <v>8</v>
      </c>
      <c r="G134" s="5" t="s">
        <v>9</v>
      </c>
    </row>
    <row r="135" spans="1:8" ht="18" x14ac:dyDescent="0.2">
      <c r="A135" s="2" t="s">
        <v>268</v>
      </c>
      <c r="B135" s="2" t="s">
        <v>269</v>
      </c>
      <c r="C135" s="10" t="s">
        <v>326</v>
      </c>
      <c r="D135" s="10">
        <f t="shared" si="1"/>
        <v>0</v>
      </c>
      <c r="E135" s="3" t="s">
        <v>96</v>
      </c>
      <c r="F135" s="8" t="s">
        <v>23</v>
      </c>
      <c r="G135" s="5" t="s">
        <v>9</v>
      </c>
    </row>
    <row r="136" spans="1:8" ht="18" x14ac:dyDescent="0.2">
      <c r="A136" s="2" t="s">
        <v>268</v>
      </c>
      <c r="B136" s="2" t="s">
        <v>270</v>
      </c>
      <c r="C136" s="10" t="s">
        <v>394</v>
      </c>
      <c r="D136" s="10">
        <f t="shared" si="1"/>
        <v>0.77</v>
      </c>
      <c r="E136" s="3" t="s">
        <v>59</v>
      </c>
      <c r="F136" s="8" t="s">
        <v>23</v>
      </c>
      <c r="G136" s="5" t="s">
        <v>9</v>
      </c>
    </row>
    <row r="137" spans="1:8" ht="18" x14ac:dyDescent="0.2">
      <c r="A137" s="2" t="s">
        <v>268</v>
      </c>
      <c r="B137" s="2" t="s">
        <v>271</v>
      </c>
      <c r="C137" s="10" t="s">
        <v>333</v>
      </c>
      <c r="D137" s="10">
        <f t="shared" si="1"/>
        <v>0</v>
      </c>
      <c r="E137" s="3" t="s">
        <v>130</v>
      </c>
      <c r="F137" s="8" t="s">
        <v>23</v>
      </c>
      <c r="G137" s="5" t="s">
        <v>9</v>
      </c>
    </row>
    <row r="138" spans="1:8" ht="18" x14ac:dyDescent="0.2">
      <c r="A138" s="2" t="s">
        <v>272</v>
      </c>
      <c r="B138" s="2" t="s">
        <v>273</v>
      </c>
      <c r="C138" s="10" t="s">
        <v>319</v>
      </c>
      <c r="D138" s="10">
        <f t="shared" si="1"/>
        <v>0</v>
      </c>
      <c r="E138" s="7" t="s">
        <v>22</v>
      </c>
      <c r="F138" s="8" t="s">
        <v>23</v>
      </c>
      <c r="G138" s="5" t="s">
        <v>9</v>
      </c>
    </row>
    <row r="139" spans="1:8" ht="18" x14ac:dyDescent="0.2">
      <c r="A139" s="2" t="s">
        <v>272</v>
      </c>
      <c r="B139" s="2" t="s">
        <v>274</v>
      </c>
      <c r="C139" s="10" t="s">
        <v>318</v>
      </c>
      <c r="D139" s="10">
        <f t="shared" si="1"/>
        <v>0</v>
      </c>
      <c r="E139" s="7" t="s">
        <v>22</v>
      </c>
      <c r="F139" s="8" t="s">
        <v>23</v>
      </c>
      <c r="G139" s="5" t="s">
        <v>9</v>
      </c>
    </row>
    <row r="140" spans="1:8" ht="18" x14ac:dyDescent="0.2">
      <c r="A140" s="2" t="s">
        <v>275</v>
      </c>
      <c r="B140" s="2" t="s">
        <v>276</v>
      </c>
      <c r="C140" s="10" t="s">
        <v>395</v>
      </c>
      <c r="D140" s="10">
        <f t="shared" si="1"/>
        <v>1.68</v>
      </c>
      <c r="E140" s="3" t="s">
        <v>106</v>
      </c>
      <c r="F140" s="8" t="s">
        <v>23</v>
      </c>
      <c r="G140" s="5" t="s">
        <v>9</v>
      </c>
    </row>
    <row r="141" spans="1:8" ht="18" x14ac:dyDescent="0.2">
      <c r="A141" s="2" t="s">
        <v>275</v>
      </c>
      <c r="B141" s="9" t="s">
        <v>277</v>
      </c>
      <c r="C141" s="11"/>
      <c r="D141" s="10">
        <v>0</v>
      </c>
      <c r="E141" s="3" t="s">
        <v>72</v>
      </c>
      <c r="F141" s="8" t="s">
        <v>23</v>
      </c>
      <c r="G141" s="5" t="s">
        <v>9</v>
      </c>
    </row>
    <row r="142" spans="1:8" ht="18" x14ac:dyDescent="0.2">
      <c r="A142" s="2" t="s">
        <v>278</v>
      </c>
      <c r="B142" s="2" t="s">
        <v>279</v>
      </c>
      <c r="C142" s="11" t="s">
        <v>396</v>
      </c>
      <c r="D142" s="10">
        <f t="shared" si="1"/>
        <v>0</v>
      </c>
      <c r="E142" s="3" t="s">
        <v>96</v>
      </c>
      <c r="F142" s="4" t="s">
        <v>8</v>
      </c>
      <c r="G142" s="5" t="s">
        <v>9</v>
      </c>
    </row>
    <row r="143" spans="1:8" ht="18" x14ac:dyDescent="0.2">
      <c r="A143" s="2" t="s">
        <v>280</v>
      </c>
      <c r="B143" s="2" t="s">
        <v>281</v>
      </c>
      <c r="C143" s="11"/>
      <c r="D143" s="10">
        <v>0</v>
      </c>
      <c r="E143" s="7" t="s">
        <v>22</v>
      </c>
      <c r="F143" s="6" t="s">
        <v>16</v>
      </c>
      <c r="G143" s="5" t="s">
        <v>9</v>
      </c>
      <c r="H143" t="s">
        <v>364</v>
      </c>
    </row>
    <row r="144" spans="1:8" ht="18" x14ac:dyDescent="0.2">
      <c r="A144" s="2" t="s">
        <v>282</v>
      </c>
      <c r="B144" s="2" t="s">
        <v>283</v>
      </c>
      <c r="C144" s="11" t="s">
        <v>397</v>
      </c>
      <c r="D144" s="10">
        <f t="shared" ref="D144:D149" si="2">VALUE(_xlfn.TEXTAFTER(C144,"="))*100</f>
        <v>1.9</v>
      </c>
      <c r="E144" s="3" t="s">
        <v>110</v>
      </c>
      <c r="F144" s="4" t="s">
        <v>8</v>
      </c>
      <c r="G144" s="5" t="s">
        <v>9</v>
      </c>
    </row>
    <row r="145" spans="1:7" ht="18" x14ac:dyDescent="0.2">
      <c r="A145" s="2" t="s">
        <v>284</v>
      </c>
      <c r="B145" s="2" t="s">
        <v>285</v>
      </c>
      <c r="C145" s="11" t="s">
        <v>398</v>
      </c>
      <c r="D145" s="10">
        <f t="shared" si="2"/>
        <v>43.1</v>
      </c>
      <c r="E145" s="3" t="s">
        <v>12</v>
      </c>
      <c r="F145" s="4" t="s">
        <v>8</v>
      </c>
      <c r="G145" s="5" t="s">
        <v>9</v>
      </c>
    </row>
    <row r="146" spans="1:7" ht="18" x14ac:dyDescent="0.2">
      <c r="A146" s="2" t="s">
        <v>286</v>
      </c>
      <c r="B146" s="2" t="s">
        <v>287</v>
      </c>
      <c r="C146" s="11" t="s">
        <v>349</v>
      </c>
      <c r="D146" s="10">
        <f t="shared" si="2"/>
        <v>0</v>
      </c>
      <c r="E146" s="3" t="s">
        <v>12</v>
      </c>
      <c r="F146" s="4" t="s">
        <v>8</v>
      </c>
      <c r="G146" s="5" t="s">
        <v>9</v>
      </c>
    </row>
    <row r="147" spans="1:7" ht="18" x14ac:dyDescent="0.2">
      <c r="A147" s="2" t="s">
        <v>288</v>
      </c>
      <c r="B147" s="2" t="s">
        <v>289</v>
      </c>
      <c r="C147" s="11" t="s">
        <v>399</v>
      </c>
      <c r="D147" s="10">
        <f t="shared" si="2"/>
        <v>33.08</v>
      </c>
      <c r="E147" s="7" t="s">
        <v>22</v>
      </c>
      <c r="F147" s="8" t="s">
        <v>23</v>
      </c>
      <c r="G147" s="5" t="s">
        <v>9</v>
      </c>
    </row>
    <row r="148" spans="1:7" ht="18" x14ac:dyDescent="0.2">
      <c r="A148" s="2" t="s">
        <v>288</v>
      </c>
      <c r="B148" s="2" t="s">
        <v>290</v>
      </c>
      <c r="C148" s="11" t="s">
        <v>400</v>
      </c>
      <c r="D148" s="10">
        <f t="shared" si="2"/>
        <v>19.8</v>
      </c>
      <c r="E148" s="3" t="s">
        <v>291</v>
      </c>
      <c r="F148" s="8" t="s">
        <v>23</v>
      </c>
      <c r="G148" s="5" t="s">
        <v>9</v>
      </c>
    </row>
    <row r="149" spans="1:7" ht="18" x14ac:dyDescent="0.2">
      <c r="D149" s="10"/>
    </row>
  </sheetData>
  <autoFilter ref="A1:G148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Genes and 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 KUMARI</cp:lastModifiedBy>
  <dcterms:created xsi:type="dcterms:W3CDTF">2026-09-01T06:24:57Z</dcterms:created>
  <dcterms:modified xsi:type="dcterms:W3CDTF">2026-09-01T08:45:59Z</dcterms:modified>
</cp:coreProperties>
</file>